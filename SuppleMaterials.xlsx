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unnan/Documents/当前在研的所有项目/项目1-1-转录组数据分类/scKSFD/第4次投稿-Fundamental_Research_20250522 submit-20250710 reject/第2次投稿版本/"/>
    </mc:Choice>
  </mc:AlternateContent>
  <xr:revisionPtr revIDLastSave="0" documentId="13_ncr:1_{07453D89-213C-B642-A2B7-24533791A8D0}" xr6:coauthVersionLast="47" xr6:coauthVersionMax="47" xr10:uidLastSave="{00000000-0000-0000-0000-000000000000}"/>
  <bookViews>
    <workbookView xWindow="2060" yWindow="-21600" windowWidth="38400" windowHeight="21600" xr2:uid="{2482E374-9C3D-F349-81DD-234A0420BFFA}"/>
  </bookViews>
  <sheets>
    <sheet name="TableS1_Data_Info" sheetId="1" r:id="rId1"/>
    <sheet name="TableS2_Performance" sheetId="2" r:id="rId2"/>
    <sheet name="TableS3_PrivacyComparison" sheetId="11" r:id="rId3"/>
    <sheet name="TableS4_nonPrivacyComparison" sheetId="12" r:id="rId4"/>
    <sheet name="TableS5_Hard vs Soft" sheetId="8" r:id="rId5"/>
    <sheet name="TableS6_ProxyProportionEffect" sheetId="3" r:id="rId6"/>
    <sheet name="TableS7_ClientNumberEffect" sheetId="4" r:id="rId7"/>
    <sheet name="TableS8_ProxyProportionRuntime" sheetId="10" r:id="rId8"/>
    <sheet name="TableS9_ProxyProportionBandwidt" sheetId="13" r:id="rId9"/>
    <sheet name="TableS10_Covid15Hospitals" sheetId="6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8" l="1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" i="8"/>
  <c r="F46" i="4"/>
  <c r="G46" i="4"/>
  <c r="H46" i="4"/>
  <c r="I46" i="4"/>
  <c r="J46" i="4"/>
  <c r="K46" i="4"/>
  <c r="L46" i="4"/>
  <c r="M46" i="4"/>
  <c r="N46" i="4"/>
  <c r="O46" i="4"/>
  <c r="E46" i="4"/>
  <c r="D46" i="4"/>
  <c r="H46" i="3"/>
  <c r="D46" i="3"/>
  <c r="L46" i="3"/>
  <c r="J46" i="3"/>
  <c r="J11" i="2"/>
  <c r="J4" i="2"/>
  <c r="I31" i="2"/>
  <c r="H31" i="2"/>
  <c r="J7" i="2"/>
  <c r="I9" i="2"/>
  <c r="H5" i="2"/>
  <c r="K5" i="2"/>
  <c r="B46" i="3" l="1"/>
  <c r="H7" i="2"/>
  <c r="I7" i="2"/>
  <c r="H30" i="2"/>
  <c r="H4" i="2"/>
  <c r="K45" i="2"/>
  <c r="J45" i="2"/>
  <c r="K44" i="2"/>
  <c r="J44" i="2"/>
  <c r="K43" i="2"/>
  <c r="J43" i="2"/>
  <c r="K42" i="2"/>
  <c r="J42" i="2"/>
  <c r="K41" i="2"/>
  <c r="J41" i="2"/>
  <c r="K40" i="2"/>
  <c r="J40" i="2"/>
  <c r="K39" i="2"/>
  <c r="J39" i="2"/>
  <c r="K38" i="2"/>
  <c r="J38" i="2"/>
  <c r="K37" i="2"/>
  <c r="J37" i="2"/>
  <c r="K36" i="2"/>
  <c r="J36" i="2"/>
  <c r="K35" i="2"/>
  <c r="J35" i="2"/>
  <c r="K34" i="2"/>
  <c r="J34" i="2"/>
  <c r="K33" i="2"/>
  <c r="J33" i="2"/>
  <c r="K32" i="2"/>
  <c r="J32" i="2"/>
  <c r="K31" i="2"/>
  <c r="J31" i="2"/>
  <c r="K30" i="2"/>
  <c r="J30" i="2"/>
  <c r="K29" i="2"/>
  <c r="J29" i="2"/>
  <c r="K28" i="2"/>
  <c r="J28" i="2"/>
  <c r="K27" i="2"/>
  <c r="J27" i="2"/>
  <c r="K26" i="2"/>
  <c r="J26" i="2"/>
  <c r="K25" i="2"/>
  <c r="J25" i="2"/>
  <c r="K24" i="2"/>
  <c r="J24" i="2"/>
  <c r="K23" i="2"/>
  <c r="J23" i="2"/>
  <c r="K22" i="2"/>
  <c r="J22" i="2"/>
  <c r="K21" i="2"/>
  <c r="J21" i="2"/>
  <c r="K20" i="2"/>
  <c r="J20" i="2"/>
  <c r="K19" i="2"/>
  <c r="J19" i="2"/>
  <c r="K18" i="2"/>
  <c r="J18" i="2"/>
  <c r="K17" i="2"/>
  <c r="J17" i="2"/>
  <c r="K16" i="2"/>
  <c r="J16" i="2"/>
  <c r="K15" i="2"/>
  <c r="J15" i="2"/>
  <c r="K14" i="2"/>
  <c r="J14" i="2"/>
  <c r="K13" i="2"/>
  <c r="J13" i="2"/>
  <c r="K12" i="2"/>
  <c r="J12" i="2"/>
  <c r="K11" i="2"/>
  <c r="K10" i="2"/>
  <c r="J10" i="2"/>
  <c r="K9" i="2"/>
  <c r="J9" i="2"/>
  <c r="K8" i="2"/>
  <c r="J8" i="2"/>
  <c r="K7" i="2"/>
  <c r="K6" i="2"/>
  <c r="J6" i="2"/>
  <c r="J5" i="2"/>
  <c r="K4" i="2"/>
  <c r="I45" i="2"/>
  <c r="H45" i="2"/>
  <c r="I44" i="2"/>
  <c r="H44" i="2"/>
  <c r="I43" i="2"/>
  <c r="H43" i="2"/>
  <c r="I42" i="2"/>
  <c r="H42" i="2"/>
  <c r="I41" i="2"/>
  <c r="H41" i="2"/>
  <c r="I40" i="2"/>
  <c r="H40" i="2"/>
  <c r="I39" i="2"/>
  <c r="H39" i="2"/>
  <c r="I38" i="2"/>
  <c r="H38" i="2"/>
  <c r="I37" i="2"/>
  <c r="H37" i="2"/>
  <c r="I36" i="2"/>
  <c r="H36" i="2"/>
  <c r="I35" i="2"/>
  <c r="H35" i="2"/>
  <c r="I34" i="2"/>
  <c r="H34" i="2"/>
  <c r="I33" i="2"/>
  <c r="H33" i="2"/>
  <c r="I32" i="2"/>
  <c r="H32" i="2"/>
  <c r="I30" i="2"/>
  <c r="I29" i="2"/>
  <c r="H29" i="2"/>
  <c r="I28" i="2"/>
  <c r="H28" i="2"/>
  <c r="I27" i="2"/>
  <c r="H27" i="2"/>
  <c r="I26" i="2"/>
  <c r="H26" i="2"/>
  <c r="I25" i="2"/>
  <c r="H25" i="2"/>
  <c r="I24" i="2"/>
  <c r="H24" i="2"/>
  <c r="I23" i="2"/>
  <c r="H23" i="2"/>
  <c r="I22" i="2"/>
  <c r="H22" i="2"/>
  <c r="I21" i="2"/>
  <c r="H21" i="2"/>
  <c r="I20" i="2"/>
  <c r="H20" i="2"/>
  <c r="I19" i="2"/>
  <c r="H19" i="2"/>
  <c r="I18" i="2"/>
  <c r="H18" i="2"/>
  <c r="I17" i="2"/>
  <c r="H17" i="2"/>
  <c r="I16" i="2"/>
  <c r="H16" i="2"/>
  <c r="I15" i="2"/>
  <c r="H15" i="2"/>
  <c r="I14" i="2"/>
  <c r="H14" i="2"/>
  <c r="I13" i="2"/>
  <c r="H13" i="2"/>
  <c r="I12" i="2"/>
  <c r="H12" i="2"/>
  <c r="I11" i="2"/>
  <c r="H11" i="2"/>
  <c r="I10" i="2"/>
  <c r="H10" i="2"/>
  <c r="H9" i="2"/>
  <c r="I8" i="2"/>
  <c r="H8" i="2"/>
  <c r="I6" i="2"/>
  <c r="H6" i="2"/>
  <c r="I5" i="2"/>
  <c r="I4" i="2"/>
  <c r="C46" i="4"/>
  <c r="B46" i="4"/>
  <c r="F46" i="3"/>
</calcChain>
</file>

<file path=xl/sharedStrings.xml><?xml version="1.0" encoding="utf-8"?>
<sst xmlns="http://schemas.openxmlformats.org/spreadsheetml/2006/main" count="776" uniqueCount="267">
  <si>
    <t>Dataset</t>
    <phoneticPr fontId="2" type="noConversion"/>
  </si>
  <si>
    <t>Abbreviation</t>
    <phoneticPr fontId="2" type="noConversion"/>
  </si>
  <si>
    <t>AML420B-D14</t>
  </si>
  <si>
    <t>Acute Myeloid Leukemia</t>
    <phoneticPr fontId="2" type="noConversion"/>
  </si>
  <si>
    <t>AML</t>
  </si>
  <si>
    <t>AML420B-D35</t>
  </si>
  <si>
    <t>Acute Myeloid Leukemia</t>
  </si>
  <si>
    <t>AML707B-D18</t>
  </si>
  <si>
    <t>NSCLC14_GSM4186956</t>
  </si>
  <si>
    <t>Non-Small Cell Lung Carcinoma</t>
    <phoneticPr fontId="1" type="noConversion"/>
  </si>
  <si>
    <t>NSCLC</t>
    <phoneticPr fontId="2" type="noConversion"/>
  </si>
  <si>
    <t>NSCLC14_GSM4186957</t>
  </si>
  <si>
    <t>Non-Small Cell Lung Carcinoma</t>
  </si>
  <si>
    <t>NSCLC14_GSM4186958</t>
  </si>
  <si>
    <t>NSCLC17_GSM4186959</t>
  </si>
  <si>
    <t>NSCLC17_GSM4186960</t>
  </si>
  <si>
    <t>HTAPP-312-SMP-901_GSM4186961</t>
  </si>
  <si>
    <t>Neuroblastoma</t>
    <phoneticPr fontId="2" type="noConversion"/>
  </si>
  <si>
    <t>Neuroblastoma</t>
    <phoneticPr fontId="1" type="noConversion"/>
  </si>
  <si>
    <t>NB</t>
    <phoneticPr fontId="2" type="noConversion"/>
  </si>
  <si>
    <t>HTAPP-312-SMP-902_GSM4186962</t>
  </si>
  <si>
    <t>HTAPP-656-SMP-3481_GSM4186963</t>
  </si>
  <si>
    <t>HTAPP-244-SMP-451_GSM4186965</t>
  </si>
  <si>
    <t>HTAPP-244-SMP-451_GSM4186966</t>
  </si>
  <si>
    <t>HTAPP-244-SMP-451_GSM4186967</t>
  </si>
  <si>
    <t>HTAPP-244-SMP-451_GSM4186968</t>
  </si>
  <si>
    <t>HTAPP-656-SMP-3481_GSM4186969</t>
  </si>
  <si>
    <t>HTAPP-254-SMP-571_GSM4186971</t>
  </si>
  <si>
    <t>Metastatic breast cancer</t>
    <phoneticPr fontId="2" type="noConversion"/>
  </si>
  <si>
    <t>MBC</t>
    <phoneticPr fontId="2" type="noConversion"/>
  </si>
  <si>
    <t>HTAPP-735-SMP-3841_GSM4186972</t>
  </si>
  <si>
    <t>HTAPP-285-SMP-751_GSM4186973</t>
  </si>
  <si>
    <t>HTAPP-963-SMP-4741_GSM4186974</t>
  </si>
  <si>
    <t>HTAPP-394-SMP-1561_GSM4186975</t>
  </si>
  <si>
    <t>HTAPP-394-SMP-1561_GSM4186976</t>
  </si>
  <si>
    <t>HTAPP-589-SMP-2851_GSM4186977</t>
  </si>
  <si>
    <t>HTAPP-589-SMP-2851_GSM4186978</t>
  </si>
  <si>
    <t>HTAPP-963-SMP-4741_GSM4186980</t>
  </si>
  <si>
    <t>MGH125_GSM4186981</t>
  </si>
  <si>
    <t>Glioblastoma</t>
    <phoneticPr fontId="1" type="noConversion"/>
  </si>
  <si>
    <t>GBM</t>
    <phoneticPr fontId="2" type="noConversion"/>
  </si>
  <si>
    <t>HTAPP-443-SMP-5491_GSM4186982</t>
  </si>
  <si>
    <t>CLL-pilot1_GSM4186983</t>
  </si>
  <si>
    <t>Chronic lymphocytic leukemia</t>
    <phoneticPr fontId="2" type="noConversion"/>
  </si>
  <si>
    <t>CLL</t>
  </si>
  <si>
    <t>CLL-pilot1_GSM4186984</t>
  </si>
  <si>
    <t>HTAPP-624-SMP-3212_GSM4186985</t>
  </si>
  <si>
    <t>Ovarian</t>
    <phoneticPr fontId="1" type="noConversion"/>
  </si>
  <si>
    <t>OC</t>
    <phoneticPr fontId="2" type="noConversion"/>
  </si>
  <si>
    <t>HTAPP-727-SMP-3781_GSM4186986</t>
  </si>
  <si>
    <t>HTAPP-316-SMP-991_GSM4186988</t>
  </si>
  <si>
    <t>HTAPP-316-SMP-991_GSM4186989</t>
  </si>
  <si>
    <t>CY128_GSM4186990</t>
  </si>
  <si>
    <t>Melanoma</t>
    <phoneticPr fontId="1" type="noConversion"/>
  </si>
  <si>
    <t>MM</t>
    <phoneticPr fontId="2" type="noConversion"/>
  </si>
  <si>
    <t>CY112_GSM4186991</t>
  </si>
  <si>
    <t>HTAPP-951-SMP-4652_GSM4186992</t>
  </si>
  <si>
    <t>Sarcoma</t>
    <phoneticPr fontId="1" type="noConversion"/>
  </si>
  <si>
    <t>SARC</t>
    <phoneticPr fontId="2" type="noConversion"/>
  </si>
  <si>
    <t>HTAPP-951-SMP-4652_GSM4186993</t>
  </si>
  <si>
    <t>HTAPP-951-SMP-4652_GSM4186994</t>
  </si>
  <si>
    <t>HTAPP-975-SMP-4771_GSM4186995</t>
  </si>
  <si>
    <t>GSE81861_CRC_tumor</t>
  </si>
  <si>
    <t>Colorectal Tumor</t>
    <phoneticPr fontId="2" type="noConversion"/>
  </si>
  <si>
    <t>CRC</t>
    <phoneticPr fontId="2" type="noConversion"/>
  </si>
  <si>
    <t>GSE81861_CRC_NM</t>
  </si>
  <si>
    <t>GSE103322_HNSCC</t>
  </si>
  <si>
    <t>Oral Cavity Tumor</t>
    <phoneticPr fontId="2" type="noConversion"/>
  </si>
  <si>
    <t>OCT</t>
    <phoneticPr fontId="2" type="noConversion"/>
  </si>
  <si>
    <t>mean</t>
  </si>
  <si>
    <t>mean</t>
    <phoneticPr fontId="1" type="noConversion"/>
  </si>
  <si>
    <t>std</t>
  </si>
  <si>
    <t>std</t>
    <phoneticPr fontId="1" type="noConversion"/>
  </si>
  <si>
    <t>Local</t>
    <phoneticPr fontId="1" type="noConversion"/>
  </si>
  <si>
    <t>W-p-value(Centralized,Global)</t>
    <phoneticPr fontId="1" type="noConversion"/>
  </si>
  <si>
    <t>W-p-value(Local,Global)</t>
    <phoneticPr fontId="1" type="noConversion"/>
  </si>
  <si>
    <t>Disease stage</t>
    <phoneticPr fontId="1" type="noConversion"/>
  </si>
  <si>
    <t>S-HC014</t>
  </si>
  <si>
    <t>Normal</t>
  </si>
  <si>
    <t>P-HC017</t>
  </si>
  <si>
    <t>S-HC017</t>
  </si>
  <si>
    <t>P-HC005</t>
  </si>
  <si>
    <t>S-HC005</t>
  </si>
  <si>
    <t>P-M066</t>
  </si>
  <si>
    <t>S-M066</t>
  </si>
  <si>
    <t>Moderate</t>
  </si>
  <si>
    <t>P-M076</t>
  </si>
  <si>
    <t>S-M076-2</t>
  </si>
  <si>
    <t>P-M078</t>
  </si>
  <si>
    <t>S-M078</t>
  </si>
  <si>
    <t>P-M054</t>
  </si>
  <si>
    <t>S-M054</t>
  </si>
  <si>
    <t>Moderate_but_have_recovered</t>
  </si>
  <si>
    <t>P-M018</t>
  </si>
  <si>
    <t>S-M018</t>
  </si>
  <si>
    <t>P-M036</t>
  </si>
  <si>
    <t>S-M036-1</t>
  </si>
  <si>
    <t>P-S037</t>
  </si>
  <si>
    <t>S-S037</t>
  </si>
  <si>
    <t>Severe</t>
  </si>
  <si>
    <t>P-S046</t>
  </si>
  <si>
    <t>S-S046</t>
  </si>
  <si>
    <t>P-S050</t>
  </si>
  <si>
    <t>S-S050</t>
  </si>
  <si>
    <t>P-S082</t>
  </si>
  <si>
    <t>S-S082</t>
  </si>
  <si>
    <t>Severe_but_have_recovered</t>
  </si>
  <si>
    <t>P-S084</t>
  </si>
  <si>
    <t>S-S084</t>
  </si>
  <si>
    <t>P-S065</t>
  </si>
  <si>
    <t>S-S065</t>
  </si>
  <si>
    <t>No. of cell types</t>
    <phoneticPr fontId="1" type="noConversion"/>
  </si>
  <si>
    <t>Patient ID</t>
    <phoneticPr fontId="1" type="noConversion"/>
  </si>
  <si>
    <t>Sample ID</t>
    <phoneticPr fontId="1" type="noConversion"/>
  </si>
  <si>
    <t>#Cell Types</t>
    <phoneticPr fontId="2" type="noConversion"/>
  </si>
  <si>
    <t>#Cells</t>
    <phoneticPr fontId="2" type="noConversion"/>
  </si>
  <si>
    <t>Disease Types</t>
    <phoneticPr fontId="2" type="noConversion"/>
  </si>
  <si>
    <t>P-HC014</t>
    <phoneticPr fontId="1" type="noConversion"/>
  </si>
  <si>
    <t>City</t>
  </si>
  <si>
    <t>Age</t>
  </si>
  <si>
    <t>Sex</t>
  </si>
  <si>
    <t>Sample type</t>
  </si>
  <si>
    <t>Wuhan</t>
  </si>
  <si>
    <t>M</t>
  </si>
  <si>
    <t>frozen PBMC</t>
  </si>
  <si>
    <t>F</t>
  </si>
  <si>
    <t>Shanghai</t>
  </si>
  <si>
    <t>fresh PBMC</t>
  </si>
  <si>
    <t>Zhuhai</t>
  </si>
  <si>
    <t>Shenzhen</t>
  </si>
  <si>
    <t>Harbin</t>
  </si>
  <si>
    <t>Beijing</t>
  </si>
  <si>
    <t>Huanggang</t>
  </si>
  <si>
    <t>geo accession</t>
  </si>
  <si>
    <t>GSM4787561</t>
  </si>
  <si>
    <t>GSM4787564</t>
  </si>
  <si>
    <t>GSM4787552</t>
  </si>
  <si>
    <t>GSM4787393</t>
  </si>
  <si>
    <t>GSM4787405</t>
  </si>
  <si>
    <t>GSM4787407</t>
  </si>
  <si>
    <t>GSM4787381</t>
  </si>
  <si>
    <t>GSM4787333</t>
  </si>
  <si>
    <t>GSM4787356</t>
  </si>
  <si>
    <t>GSM4787475</t>
  </si>
  <si>
    <t>GSM4787484</t>
  </si>
  <si>
    <t>GSM4787488</t>
  </si>
  <si>
    <t>GSM4787533</t>
  </si>
  <si>
    <t>GSM4787535</t>
  </si>
  <si>
    <t>GSM4787503</t>
  </si>
  <si>
    <t>No.</t>
    <phoneticPr fontId="1" type="noConversion"/>
  </si>
  <si>
    <t>Global mean -  Centralized mean</t>
    <phoneticPr fontId="1" type="noConversion"/>
  </si>
  <si>
    <t>Global mean - Local mean</t>
    <phoneticPr fontId="1" type="noConversion"/>
  </si>
  <si>
    <t>Global std -  Centralized std</t>
    <phoneticPr fontId="1" type="noConversion"/>
  </si>
  <si>
    <t>Global std -  Local std</t>
    <phoneticPr fontId="1" type="noConversion"/>
  </si>
  <si>
    <t>Supplementary Table S1: Overview of datasets used in the evaluation and benchmarking of scKSFD</t>
    <phoneticPr fontId="1" type="noConversion"/>
  </si>
  <si>
    <t>Centralized (CellMLP)</t>
    <phoneticPr fontId="2" type="noConversion"/>
  </si>
  <si>
    <t>Global (scKSFD K=5)</t>
    <phoneticPr fontId="1" type="noConversion"/>
  </si>
  <si>
    <t>Supplementary Table S2: Performance comparison of the centralized model "CellMLP", local model "Local", and global model "scKSFD" in cell type classification tasks across 42 datasets</t>
    <phoneticPr fontId="1" type="noConversion"/>
  </si>
  <si>
    <t>scKSFD Prop=10% (K=5)</t>
    <phoneticPr fontId="1" type="noConversion"/>
  </si>
  <si>
    <t>scKSFD Prop=30% (K=5)</t>
    <phoneticPr fontId="1" type="noConversion"/>
  </si>
  <si>
    <t>scKSFD Prop=50% (K=5)</t>
    <phoneticPr fontId="1" type="noConversion"/>
  </si>
  <si>
    <t>scKSFD Prop=70% (K=5)</t>
    <phoneticPr fontId="1" type="noConversion"/>
  </si>
  <si>
    <t>scKSFD Prop=90% (K=5)</t>
    <phoneticPr fontId="1" type="noConversion"/>
  </si>
  <si>
    <t>scKSFD (K=2)</t>
    <phoneticPr fontId="1" type="noConversion"/>
  </si>
  <si>
    <t>scKSFD (K=5)</t>
    <phoneticPr fontId="1" type="noConversion"/>
  </si>
  <si>
    <t>scKSFD (K=10)</t>
    <phoneticPr fontId="1" type="noConversion"/>
  </si>
  <si>
    <t>scKSFD (K=20)</t>
    <phoneticPr fontId="1" type="noConversion"/>
  </si>
  <si>
    <t>soft-hard</t>
    <phoneticPr fontId="1" type="noConversion"/>
  </si>
  <si>
    <t>AML-1</t>
    <phoneticPr fontId="1" type="noConversion"/>
  </si>
  <si>
    <t>AML-2</t>
  </si>
  <si>
    <t>AML-3</t>
  </si>
  <si>
    <t>NSCLC-1</t>
    <phoneticPr fontId="2" type="noConversion"/>
  </si>
  <si>
    <t>NSCLC-2</t>
  </si>
  <si>
    <t>NSCLC-3</t>
  </si>
  <si>
    <t>NSCLC-4</t>
  </si>
  <si>
    <t>NSCLC-5</t>
  </si>
  <si>
    <t>NB-1</t>
    <phoneticPr fontId="2" type="noConversion"/>
  </si>
  <si>
    <t>NB-2</t>
  </si>
  <si>
    <t>NB-3</t>
  </si>
  <si>
    <t>NB-4</t>
  </si>
  <si>
    <t>NB-5</t>
  </si>
  <si>
    <t>NB-6</t>
  </si>
  <si>
    <t>NB-7</t>
  </si>
  <si>
    <t>NB-8</t>
  </si>
  <si>
    <t>MBC-1</t>
    <phoneticPr fontId="2" type="noConversion"/>
  </si>
  <si>
    <t>MBC-2</t>
  </si>
  <si>
    <t>MBC-3</t>
  </si>
  <si>
    <t>MBC-4</t>
  </si>
  <si>
    <t>MBC-5</t>
  </si>
  <si>
    <t>MBC-6</t>
  </si>
  <si>
    <t>MBC-7</t>
  </si>
  <si>
    <t>MBC-8</t>
  </si>
  <si>
    <t>MBC-9</t>
  </si>
  <si>
    <t>GBM-1</t>
    <phoneticPr fontId="2" type="noConversion"/>
  </si>
  <si>
    <t>GBM-2</t>
  </si>
  <si>
    <t>CLL-1</t>
    <phoneticPr fontId="1" type="noConversion"/>
  </si>
  <si>
    <t>CLL-2</t>
  </si>
  <si>
    <t>OC-1</t>
    <phoneticPr fontId="2" type="noConversion"/>
  </si>
  <si>
    <t>OC-2</t>
  </si>
  <si>
    <t>OC-3</t>
  </si>
  <si>
    <t>OC-4</t>
  </si>
  <si>
    <t>MM-1</t>
    <phoneticPr fontId="1" type="noConversion"/>
  </si>
  <si>
    <t>MM-2</t>
  </si>
  <si>
    <t>SARC-1</t>
    <phoneticPr fontId="2" type="noConversion"/>
  </si>
  <si>
    <t>SARC-2</t>
  </si>
  <si>
    <t>SARC-3</t>
  </si>
  <si>
    <t>SARC-4</t>
  </si>
  <si>
    <t>CRC-1</t>
    <phoneticPr fontId="2" type="noConversion"/>
  </si>
  <si>
    <t>CRC-2</t>
    <phoneticPr fontId="1" type="noConversion"/>
  </si>
  <si>
    <t>#Cells Most</t>
    <phoneticPr fontId="1" type="noConversion"/>
  </si>
  <si>
    <t>#Cells Least</t>
    <phoneticPr fontId="1" type="noConversion"/>
  </si>
  <si>
    <t>scKSFD Prop=100% (K=5)</t>
    <phoneticPr fontId="1" type="noConversion"/>
  </si>
  <si>
    <t>scKSFD (K=7)</t>
    <phoneticPr fontId="1" type="noConversion"/>
  </si>
  <si>
    <t>scFedACTINN</t>
  </si>
  <si>
    <t>scFedSVM</t>
  </si>
  <si>
    <t>scPrivacy</t>
  </si>
  <si>
    <t>PPML-Omics</t>
  </si>
  <si>
    <t>scKSFD</t>
  </si>
  <si>
    <t>scKSFD-scFedACTINN</t>
  </si>
  <si>
    <t>scKSFD-scFedSVM</t>
  </si>
  <si>
    <t>scKSFD-scPrivacy</t>
  </si>
  <si>
    <t>scKSFD-PPML-Omics</t>
  </si>
  <si>
    <t>Dataset</t>
  </si>
  <si>
    <t>ACTINN</t>
  </si>
  <si>
    <t>scGNN</t>
  </si>
  <si>
    <t>scPSD</t>
  </si>
  <si>
    <t>scTPC</t>
  </si>
  <si>
    <t>scKSFD-ACTINN</t>
  </si>
  <si>
    <t>scKSFD-scGNN</t>
  </si>
  <si>
    <t>scKSFD-scPSD</t>
  </si>
  <si>
    <t>scKSFD-scTPC</t>
  </si>
  <si>
    <t>Supplementary Table S4: Performance comparison of scKSFD and ACTINN, scGNN, scPSD, scTPC</t>
    <phoneticPr fontId="1" type="noConversion"/>
  </si>
  <si>
    <t>Supplementary Table S3: Performance comparison of scKSFD and scFedACTINN, scFedSVM, scPrivacy, PPML-Omics</t>
    <phoneticPr fontId="1" type="noConversion"/>
  </si>
  <si>
    <t>Supplementary Table S6: Model Robustness with Different Proxy Dataset Proportions</t>
    <phoneticPr fontId="1" type="noConversion"/>
  </si>
  <si>
    <t>AVERAGE</t>
    <phoneticPr fontId="1" type="noConversion"/>
  </si>
  <si>
    <t>Supplementary Table S7: Model Robustness with Different Client Numbers</t>
    <phoneticPr fontId="1" type="noConversion"/>
  </si>
  <si>
    <t>R2</t>
  </si>
  <si>
    <t>P_value</t>
  </si>
  <si>
    <t>Supplementary Table S10: Patient information</t>
    <phoneticPr fontId="1" type="noConversion"/>
  </si>
  <si>
    <t>Hospital id</t>
    <phoneticPr fontId="1" type="noConversion"/>
  </si>
  <si>
    <t>Hospital 1</t>
    <phoneticPr fontId="1" type="noConversion"/>
  </si>
  <si>
    <t>Hospital 2</t>
  </si>
  <si>
    <t>Hospital 3</t>
  </si>
  <si>
    <t>Hospital 4</t>
  </si>
  <si>
    <t>Hospital 5</t>
  </si>
  <si>
    <t>Hospital 6</t>
  </si>
  <si>
    <t>Hospital 7</t>
  </si>
  <si>
    <t>Hospital 8</t>
  </si>
  <si>
    <t>Hospital 9</t>
  </si>
  <si>
    <t>Hospital 10</t>
  </si>
  <si>
    <t>Hospital 11</t>
  </si>
  <si>
    <t>Hospital 12</t>
  </si>
  <si>
    <t>Hospital 13</t>
  </si>
  <si>
    <t>Hospital 14</t>
  </si>
  <si>
    <t>Hospital 15</t>
  </si>
  <si>
    <t>Supplementary Table S9: Bandwidth Comparison (different proxy sample proportions, K=10)</t>
    <phoneticPr fontId="1" type="noConversion"/>
  </si>
  <si>
    <t>scKSFD Prop=10%</t>
  </si>
  <si>
    <t>scKSFD Prop=30%</t>
  </si>
  <si>
    <t>scKSFD Prop=50%</t>
  </si>
  <si>
    <t>scKSFD Prop=70%</t>
  </si>
  <si>
    <t>scKSFD Prop=90%</t>
  </si>
  <si>
    <t>scKSFD Prop=100%</t>
  </si>
  <si>
    <t>Supplementary Table S8: Runtime Comparison (different proxy sample proportions, K=10)</t>
    <phoneticPr fontId="1" type="noConversion"/>
  </si>
  <si>
    <t>Supplementary Table S5: Performance comparison of soft and hard labels (K=5)</t>
    <phoneticPr fontId="1" type="noConversion"/>
  </si>
  <si>
    <t>scKSFD soft label</t>
    <phoneticPr fontId="1" type="noConversion"/>
  </si>
  <si>
    <t>scKSFD hard label</t>
    <phoneticPr fontId="1" type="noConversion"/>
  </si>
  <si>
    <t>Dataset id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</si>
</sst>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_ ;[Red]\-0.000\ "/>
    <numFmt numFmtId="177" formatCode="0.000_ "/>
  </numFmts>
  <fonts count="15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14"/>
      <color theme="1"/>
      <name val="等线"/>
      <family val="2"/>
      <charset val="134"/>
      <scheme val="minor"/>
    </font>
    <font>
      <b/>
      <sz val="14"/>
      <color theme="1"/>
      <name val="等线"/>
      <family val="2"/>
      <charset val="134"/>
      <scheme val="minor"/>
    </font>
    <font>
      <b/>
      <sz val="18"/>
      <color theme="1"/>
      <name val="Times New Roman"/>
      <family val="1"/>
    </font>
    <font>
      <sz val="14"/>
      <color theme="1"/>
      <name val="Times New Roman"/>
      <family val="1"/>
    </font>
    <font>
      <sz val="12"/>
      <color theme="1"/>
      <name val="Times New Roman"/>
      <family val="1"/>
    </font>
    <font>
      <sz val="14"/>
      <name val="Times New Roman"/>
      <family val="1"/>
    </font>
    <font>
      <b/>
      <sz val="17"/>
      <name val="Times New Roman"/>
      <family val="1"/>
    </font>
    <font>
      <b/>
      <sz val="17"/>
      <color theme="1"/>
      <name val="Times New Roman"/>
      <family val="1"/>
    </font>
    <font>
      <sz val="17"/>
      <color theme="1"/>
      <name val="等线"/>
      <family val="2"/>
      <charset val="134"/>
      <scheme val="minor"/>
    </font>
    <font>
      <b/>
      <sz val="17"/>
      <color rgb="FF000000"/>
      <name val="Times New Roman"/>
      <family val="1"/>
    </font>
    <font>
      <b/>
      <sz val="17"/>
      <color theme="1"/>
      <name val="等线"/>
      <family val="2"/>
      <charset val="134"/>
      <scheme val="minor"/>
    </font>
    <font>
      <sz val="14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3">
    <xf numFmtId="0" fontId="0" fillId="0" borderId="0" xfId="0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 applyAlignment="1">
      <alignment horizontal="center" vertical="center"/>
    </xf>
    <xf numFmtId="0" fontId="7" fillId="0" borderId="0" xfId="0" applyFont="1">
      <alignment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13" fillId="0" borderId="0" xfId="0" applyFont="1">
      <alignment vertical="center"/>
    </xf>
    <xf numFmtId="0" fontId="3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176" fontId="5" fillId="0" borderId="0" xfId="0" applyNumberFormat="1" applyFont="1">
      <alignment vertical="center"/>
    </xf>
    <xf numFmtId="176" fontId="0" fillId="0" borderId="0" xfId="0" applyNumberFormat="1">
      <alignment vertical="center"/>
    </xf>
    <xf numFmtId="177" fontId="6" fillId="2" borderId="0" xfId="0" applyNumberFormat="1" applyFont="1" applyFill="1" applyAlignment="1">
      <alignment horizontal="center" vertical="center"/>
    </xf>
    <xf numFmtId="177" fontId="8" fillId="2" borderId="0" xfId="0" applyNumberFormat="1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77" fontId="6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1">
    <cellStyle name="常规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C999A-3F60-C546-923E-B5096316C058}">
  <dimension ref="A1:H44"/>
  <sheetViews>
    <sheetView tabSelected="1" zoomScaleNormal="100" workbookViewId="0"/>
  </sheetViews>
  <sheetFormatPr baseColWidth="10" defaultRowHeight="16"/>
  <cols>
    <col min="1" max="1" width="18.83203125" customWidth="1"/>
    <col min="2" max="5" width="19.83203125" customWidth="1"/>
    <col min="6" max="6" width="35.6640625" bestFit="1" customWidth="1"/>
    <col min="7" max="7" width="19.33203125" bestFit="1" customWidth="1"/>
    <col min="8" max="8" width="48.6640625" customWidth="1"/>
  </cols>
  <sheetData>
    <row r="1" spans="1:8" s="1" customFormat="1" ht="58" customHeight="1">
      <c r="A1" s="2" t="s">
        <v>154</v>
      </c>
      <c r="B1" s="2"/>
      <c r="C1" s="2"/>
      <c r="D1" s="2"/>
      <c r="E1" s="2"/>
      <c r="F1" s="2"/>
      <c r="G1" s="2"/>
    </row>
    <row r="2" spans="1:8" s="7" customFormat="1" ht="25" customHeight="1">
      <c r="A2" s="6" t="s">
        <v>0</v>
      </c>
      <c r="B2" s="6" t="s">
        <v>114</v>
      </c>
      <c r="C2" s="6" t="s">
        <v>115</v>
      </c>
      <c r="D2" s="6" t="s">
        <v>209</v>
      </c>
      <c r="E2" s="6" t="s">
        <v>210</v>
      </c>
      <c r="F2" s="6" t="s">
        <v>116</v>
      </c>
      <c r="G2" s="6" t="s">
        <v>1</v>
      </c>
      <c r="H2" s="6" t="s">
        <v>266</v>
      </c>
    </row>
    <row r="3" spans="1:8" ht="18">
      <c r="A3" s="3" t="s">
        <v>168</v>
      </c>
      <c r="B3" s="3">
        <v>4</v>
      </c>
      <c r="C3" s="3">
        <v>1272</v>
      </c>
      <c r="D3" s="3">
        <v>716</v>
      </c>
      <c r="E3" s="3">
        <v>77</v>
      </c>
      <c r="F3" s="3" t="s">
        <v>3</v>
      </c>
      <c r="G3" s="3" t="s">
        <v>4</v>
      </c>
      <c r="H3" s="3" t="s">
        <v>2</v>
      </c>
    </row>
    <row r="4" spans="1:8" ht="18">
      <c r="A4" s="3" t="s">
        <v>169</v>
      </c>
      <c r="B4" s="3">
        <v>4</v>
      </c>
      <c r="C4" s="3">
        <v>663</v>
      </c>
      <c r="D4" s="3">
        <v>408</v>
      </c>
      <c r="E4" s="3">
        <v>36</v>
      </c>
      <c r="F4" s="3" t="s">
        <v>6</v>
      </c>
      <c r="G4" s="3" t="s">
        <v>4</v>
      </c>
      <c r="H4" s="3" t="s">
        <v>5</v>
      </c>
    </row>
    <row r="5" spans="1:8" ht="18">
      <c r="A5" s="3" t="s">
        <v>170</v>
      </c>
      <c r="B5" s="3">
        <v>6</v>
      </c>
      <c r="C5" s="3">
        <v>1625</v>
      </c>
      <c r="D5" s="3">
        <v>1328</v>
      </c>
      <c r="E5" s="3">
        <v>22</v>
      </c>
      <c r="F5" s="3" t="s">
        <v>6</v>
      </c>
      <c r="G5" s="3" t="s">
        <v>4</v>
      </c>
      <c r="H5" s="3" t="s">
        <v>7</v>
      </c>
    </row>
    <row r="6" spans="1:8" ht="18">
      <c r="A6" s="3" t="s">
        <v>171</v>
      </c>
      <c r="B6" s="3">
        <v>4</v>
      </c>
      <c r="C6" s="3">
        <v>5139</v>
      </c>
      <c r="D6" s="3">
        <v>3306</v>
      </c>
      <c r="E6" s="3">
        <v>100</v>
      </c>
      <c r="F6" s="3" t="s">
        <v>9</v>
      </c>
      <c r="G6" s="3" t="s">
        <v>10</v>
      </c>
      <c r="H6" s="3" t="s">
        <v>8</v>
      </c>
    </row>
    <row r="7" spans="1:8" ht="18">
      <c r="A7" s="3" t="s">
        <v>172</v>
      </c>
      <c r="B7" s="3">
        <v>7</v>
      </c>
      <c r="C7" s="3">
        <v>4911</v>
      </c>
      <c r="D7" s="3">
        <v>1476</v>
      </c>
      <c r="E7" s="3">
        <v>119</v>
      </c>
      <c r="F7" s="3" t="s">
        <v>12</v>
      </c>
      <c r="G7" s="3" t="s">
        <v>10</v>
      </c>
      <c r="H7" s="3" t="s">
        <v>11</v>
      </c>
    </row>
    <row r="8" spans="1:8" ht="18">
      <c r="A8" s="3" t="s">
        <v>173</v>
      </c>
      <c r="B8" s="3">
        <v>7</v>
      </c>
      <c r="C8" s="3">
        <v>4345</v>
      </c>
      <c r="D8" s="3">
        <v>1403</v>
      </c>
      <c r="E8" s="3">
        <v>77</v>
      </c>
      <c r="F8" s="3" t="s">
        <v>9</v>
      </c>
      <c r="G8" s="3" t="s">
        <v>10</v>
      </c>
      <c r="H8" s="3" t="s">
        <v>13</v>
      </c>
    </row>
    <row r="9" spans="1:8" ht="18">
      <c r="A9" s="3" t="s">
        <v>174</v>
      </c>
      <c r="B9" s="3">
        <v>7</v>
      </c>
      <c r="C9" s="3">
        <v>2998</v>
      </c>
      <c r="D9" s="3">
        <v>888</v>
      </c>
      <c r="E9" s="3">
        <v>81</v>
      </c>
      <c r="F9" s="3" t="s">
        <v>9</v>
      </c>
      <c r="G9" s="3" t="s">
        <v>10</v>
      </c>
      <c r="H9" s="3" t="s">
        <v>14</v>
      </c>
    </row>
    <row r="10" spans="1:8" ht="18">
      <c r="A10" s="3" t="s">
        <v>175</v>
      </c>
      <c r="B10" s="3">
        <v>3</v>
      </c>
      <c r="C10" s="3">
        <v>10716</v>
      </c>
      <c r="D10" s="3">
        <v>8799</v>
      </c>
      <c r="E10" s="3">
        <v>590</v>
      </c>
      <c r="F10" s="3" t="s">
        <v>12</v>
      </c>
      <c r="G10" s="3" t="s">
        <v>10</v>
      </c>
      <c r="H10" s="3" t="s">
        <v>15</v>
      </c>
    </row>
    <row r="11" spans="1:8" ht="18">
      <c r="A11" s="3" t="s">
        <v>176</v>
      </c>
      <c r="B11" s="3">
        <v>3</v>
      </c>
      <c r="C11" s="3">
        <v>4369</v>
      </c>
      <c r="D11" s="3">
        <v>4294</v>
      </c>
      <c r="E11" s="3">
        <v>11</v>
      </c>
      <c r="F11" s="3" t="s">
        <v>18</v>
      </c>
      <c r="G11" s="3" t="s">
        <v>19</v>
      </c>
      <c r="H11" s="3" t="s">
        <v>16</v>
      </c>
    </row>
    <row r="12" spans="1:8" ht="18">
      <c r="A12" s="3" t="s">
        <v>177</v>
      </c>
      <c r="B12" s="3">
        <v>5</v>
      </c>
      <c r="C12" s="3">
        <v>786</v>
      </c>
      <c r="D12" s="3">
        <v>287</v>
      </c>
      <c r="E12" s="3">
        <v>23</v>
      </c>
      <c r="F12" s="3" t="s">
        <v>17</v>
      </c>
      <c r="G12" s="3" t="s">
        <v>19</v>
      </c>
      <c r="H12" s="3" t="s">
        <v>20</v>
      </c>
    </row>
    <row r="13" spans="1:8" ht="18">
      <c r="A13" s="3" t="s">
        <v>178</v>
      </c>
      <c r="B13" s="3">
        <v>9</v>
      </c>
      <c r="C13" s="3">
        <v>3449</v>
      </c>
      <c r="D13" s="3">
        <v>1396</v>
      </c>
      <c r="E13" s="3">
        <v>19</v>
      </c>
      <c r="F13" s="3" t="s">
        <v>18</v>
      </c>
      <c r="G13" s="3" t="s">
        <v>19</v>
      </c>
      <c r="H13" s="3" t="s">
        <v>21</v>
      </c>
    </row>
    <row r="14" spans="1:8" ht="18">
      <c r="A14" s="3" t="s">
        <v>179</v>
      </c>
      <c r="B14" s="3">
        <v>7</v>
      </c>
      <c r="C14" s="3">
        <v>6157</v>
      </c>
      <c r="D14" s="3">
        <v>5728</v>
      </c>
      <c r="E14" s="3">
        <v>18</v>
      </c>
      <c r="F14" s="3" t="s">
        <v>17</v>
      </c>
      <c r="G14" s="3" t="s">
        <v>19</v>
      </c>
      <c r="H14" s="3" t="s">
        <v>22</v>
      </c>
    </row>
    <row r="15" spans="1:8" ht="18">
      <c r="A15" s="3" t="s">
        <v>180</v>
      </c>
      <c r="B15" s="3">
        <v>7</v>
      </c>
      <c r="C15" s="3">
        <v>7896</v>
      </c>
      <c r="D15" s="3">
        <v>7379</v>
      </c>
      <c r="E15" s="3">
        <v>16</v>
      </c>
      <c r="F15" s="3" t="s">
        <v>18</v>
      </c>
      <c r="G15" s="3" t="s">
        <v>19</v>
      </c>
      <c r="H15" s="3" t="s">
        <v>23</v>
      </c>
    </row>
    <row r="16" spans="1:8" ht="18">
      <c r="A16" s="3" t="s">
        <v>181</v>
      </c>
      <c r="B16" s="3">
        <v>6</v>
      </c>
      <c r="C16" s="3">
        <v>7531</v>
      </c>
      <c r="D16" s="3">
        <v>6790</v>
      </c>
      <c r="E16" s="3">
        <v>50</v>
      </c>
      <c r="F16" s="3" t="s">
        <v>17</v>
      </c>
      <c r="G16" s="3" t="s">
        <v>19</v>
      </c>
      <c r="H16" s="3" t="s">
        <v>24</v>
      </c>
    </row>
    <row r="17" spans="1:8" ht="18">
      <c r="A17" s="3" t="s">
        <v>182</v>
      </c>
      <c r="B17" s="3">
        <v>7</v>
      </c>
      <c r="C17" s="3">
        <v>7415</v>
      </c>
      <c r="D17" s="3">
        <v>6477</v>
      </c>
      <c r="E17" s="3">
        <v>15</v>
      </c>
      <c r="F17" s="3" t="s">
        <v>18</v>
      </c>
      <c r="G17" s="3" t="s">
        <v>19</v>
      </c>
      <c r="H17" s="3" t="s">
        <v>25</v>
      </c>
    </row>
    <row r="18" spans="1:8" ht="18">
      <c r="A18" s="3" t="s">
        <v>183</v>
      </c>
      <c r="B18" s="3">
        <v>7</v>
      </c>
      <c r="C18" s="3">
        <v>7810</v>
      </c>
      <c r="D18" s="3">
        <v>2486</v>
      </c>
      <c r="E18" s="3">
        <v>162</v>
      </c>
      <c r="F18" s="3" t="s">
        <v>17</v>
      </c>
      <c r="G18" s="3" t="s">
        <v>19</v>
      </c>
      <c r="H18" s="3" t="s">
        <v>26</v>
      </c>
    </row>
    <row r="19" spans="1:8" ht="18">
      <c r="A19" s="3" t="s">
        <v>184</v>
      </c>
      <c r="B19" s="3">
        <v>5</v>
      </c>
      <c r="C19" s="3">
        <v>2779</v>
      </c>
      <c r="D19" s="3">
        <v>1751</v>
      </c>
      <c r="E19" s="3">
        <v>93</v>
      </c>
      <c r="F19" s="3" t="s">
        <v>28</v>
      </c>
      <c r="G19" s="3" t="s">
        <v>29</v>
      </c>
      <c r="H19" s="3" t="s">
        <v>27</v>
      </c>
    </row>
    <row r="20" spans="1:8" ht="18">
      <c r="A20" s="3" t="s">
        <v>185</v>
      </c>
      <c r="B20" s="3">
        <v>7</v>
      </c>
      <c r="C20" s="3">
        <v>3149</v>
      </c>
      <c r="D20" s="3">
        <v>2215</v>
      </c>
      <c r="E20" s="3">
        <v>27</v>
      </c>
      <c r="F20" s="3" t="s">
        <v>28</v>
      </c>
      <c r="G20" s="3" t="s">
        <v>29</v>
      </c>
      <c r="H20" s="3" t="s">
        <v>30</v>
      </c>
    </row>
    <row r="21" spans="1:8" ht="18">
      <c r="A21" s="3" t="s">
        <v>186</v>
      </c>
      <c r="B21" s="3">
        <v>8</v>
      </c>
      <c r="C21" s="3">
        <v>4463</v>
      </c>
      <c r="D21" s="3">
        <v>3143</v>
      </c>
      <c r="E21" s="3">
        <v>42</v>
      </c>
      <c r="F21" s="3" t="s">
        <v>28</v>
      </c>
      <c r="G21" s="3" t="s">
        <v>29</v>
      </c>
      <c r="H21" s="3" t="s">
        <v>31</v>
      </c>
    </row>
    <row r="22" spans="1:8" ht="18">
      <c r="A22" s="3" t="s">
        <v>187</v>
      </c>
      <c r="B22" s="3">
        <v>8</v>
      </c>
      <c r="C22" s="3">
        <v>5163</v>
      </c>
      <c r="D22" s="3">
        <v>2571</v>
      </c>
      <c r="E22" s="3">
        <v>57</v>
      </c>
      <c r="F22" s="3" t="s">
        <v>28</v>
      </c>
      <c r="G22" s="3" t="s">
        <v>29</v>
      </c>
      <c r="H22" s="3" t="s">
        <v>32</v>
      </c>
    </row>
    <row r="23" spans="1:8" ht="18">
      <c r="A23" s="3" t="s">
        <v>188</v>
      </c>
      <c r="B23" s="3">
        <v>6</v>
      </c>
      <c r="C23" s="3">
        <v>6948</v>
      </c>
      <c r="D23" s="3">
        <v>6490</v>
      </c>
      <c r="E23" s="3">
        <v>27</v>
      </c>
      <c r="F23" s="3" t="s">
        <v>28</v>
      </c>
      <c r="G23" s="3" t="s">
        <v>29</v>
      </c>
      <c r="H23" s="3" t="s">
        <v>33</v>
      </c>
    </row>
    <row r="24" spans="1:8" ht="18">
      <c r="A24" s="3" t="s">
        <v>189</v>
      </c>
      <c r="B24" s="3">
        <v>6</v>
      </c>
      <c r="C24" s="3">
        <v>8058</v>
      </c>
      <c r="D24" s="3">
        <v>7738</v>
      </c>
      <c r="E24" s="3">
        <v>38</v>
      </c>
      <c r="F24" s="3" t="s">
        <v>28</v>
      </c>
      <c r="G24" s="3" t="s">
        <v>29</v>
      </c>
      <c r="H24" s="3" t="s">
        <v>34</v>
      </c>
    </row>
    <row r="25" spans="1:8" ht="18">
      <c r="A25" s="3" t="s">
        <v>190</v>
      </c>
      <c r="B25" s="3">
        <v>6</v>
      </c>
      <c r="C25" s="3">
        <v>7858</v>
      </c>
      <c r="D25" s="3">
        <v>7326</v>
      </c>
      <c r="E25" s="3">
        <v>31</v>
      </c>
      <c r="F25" s="3" t="s">
        <v>28</v>
      </c>
      <c r="G25" s="3" t="s">
        <v>29</v>
      </c>
      <c r="H25" s="3" t="s">
        <v>35</v>
      </c>
    </row>
    <row r="26" spans="1:8" ht="18">
      <c r="A26" s="3" t="s">
        <v>191</v>
      </c>
      <c r="B26" s="3">
        <v>7</v>
      </c>
      <c r="C26" s="3">
        <v>8373</v>
      </c>
      <c r="D26" s="3">
        <v>7079</v>
      </c>
      <c r="E26" s="3">
        <v>42</v>
      </c>
      <c r="F26" s="3" t="s">
        <v>28</v>
      </c>
      <c r="G26" s="3" t="s">
        <v>29</v>
      </c>
      <c r="H26" s="3" t="s">
        <v>36</v>
      </c>
    </row>
    <row r="27" spans="1:8" ht="18">
      <c r="A27" s="3" t="s">
        <v>192</v>
      </c>
      <c r="B27" s="3">
        <v>7</v>
      </c>
      <c r="C27" s="3">
        <v>7260</v>
      </c>
      <c r="D27" s="3">
        <v>3468</v>
      </c>
      <c r="E27" s="3">
        <v>24</v>
      </c>
      <c r="F27" s="3" t="s">
        <v>28</v>
      </c>
      <c r="G27" s="3" t="s">
        <v>29</v>
      </c>
      <c r="H27" s="3" t="s">
        <v>37</v>
      </c>
    </row>
    <row r="28" spans="1:8" ht="18">
      <c r="A28" s="3" t="s">
        <v>193</v>
      </c>
      <c r="B28" s="3">
        <v>5</v>
      </c>
      <c r="C28" s="3">
        <v>1077</v>
      </c>
      <c r="D28" s="3">
        <v>468</v>
      </c>
      <c r="E28" s="3">
        <v>59</v>
      </c>
      <c r="F28" s="3" t="s">
        <v>39</v>
      </c>
      <c r="G28" s="3" t="s">
        <v>40</v>
      </c>
      <c r="H28" s="3" t="s">
        <v>38</v>
      </c>
    </row>
    <row r="29" spans="1:8" ht="18">
      <c r="A29" s="3" t="s">
        <v>194</v>
      </c>
      <c r="B29" s="3">
        <v>5</v>
      </c>
      <c r="C29" s="3">
        <v>3967</v>
      </c>
      <c r="D29" s="3">
        <v>2111</v>
      </c>
      <c r="E29" s="3">
        <v>153</v>
      </c>
      <c r="F29" s="3" t="s">
        <v>39</v>
      </c>
      <c r="G29" s="3" t="s">
        <v>40</v>
      </c>
      <c r="H29" s="3" t="s">
        <v>41</v>
      </c>
    </row>
    <row r="30" spans="1:8" ht="18">
      <c r="A30" s="3" t="s">
        <v>195</v>
      </c>
      <c r="B30" s="3">
        <v>3</v>
      </c>
      <c r="C30" s="3">
        <v>2562</v>
      </c>
      <c r="D30" s="3">
        <v>2315</v>
      </c>
      <c r="E30" s="3">
        <v>54</v>
      </c>
      <c r="F30" s="3" t="s">
        <v>43</v>
      </c>
      <c r="G30" s="3" t="s">
        <v>44</v>
      </c>
      <c r="H30" s="3" t="s">
        <v>42</v>
      </c>
    </row>
    <row r="31" spans="1:8" ht="18">
      <c r="A31" s="3" t="s">
        <v>196</v>
      </c>
      <c r="B31" s="3">
        <v>3</v>
      </c>
      <c r="C31" s="3">
        <v>2339</v>
      </c>
      <c r="D31" s="3">
        <v>2102</v>
      </c>
      <c r="E31" s="3">
        <v>42</v>
      </c>
      <c r="F31" s="3" t="s">
        <v>43</v>
      </c>
      <c r="G31" s="3" t="s">
        <v>44</v>
      </c>
      <c r="H31" s="3" t="s">
        <v>45</v>
      </c>
    </row>
    <row r="32" spans="1:8" ht="18">
      <c r="A32" s="3" t="s">
        <v>197</v>
      </c>
      <c r="B32" s="3">
        <v>8</v>
      </c>
      <c r="C32" s="3">
        <v>4066</v>
      </c>
      <c r="D32" s="3">
        <v>1498</v>
      </c>
      <c r="E32" s="3">
        <v>35</v>
      </c>
      <c r="F32" s="3" t="s">
        <v>47</v>
      </c>
      <c r="G32" s="3" t="s">
        <v>48</v>
      </c>
      <c r="H32" s="3" t="s">
        <v>46</v>
      </c>
    </row>
    <row r="33" spans="1:8" ht="18">
      <c r="A33" s="3" t="s">
        <v>198</v>
      </c>
      <c r="B33" s="3">
        <v>5</v>
      </c>
      <c r="C33" s="3">
        <v>2359</v>
      </c>
      <c r="D33" s="3">
        <v>1214</v>
      </c>
      <c r="E33" s="3">
        <v>32</v>
      </c>
      <c r="F33" s="3" t="s">
        <v>47</v>
      </c>
      <c r="G33" s="3" t="s">
        <v>48</v>
      </c>
      <c r="H33" s="3" t="s">
        <v>49</v>
      </c>
    </row>
    <row r="34" spans="1:8" ht="18">
      <c r="A34" s="3" t="s">
        <v>199</v>
      </c>
      <c r="B34" s="3">
        <v>7</v>
      </c>
      <c r="C34" s="3">
        <v>5970</v>
      </c>
      <c r="D34" s="3">
        <v>3501</v>
      </c>
      <c r="E34" s="3">
        <v>162</v>
      </c>
      <c r="F34" s="3" t="s">
        <v>47</v>
      </c>
      <c r="G34" s="3" t="s">
        <v>48</v>
      </c>
      <c r="H34" s="3" t="s">
        <v>50</v>
      </c>
    </row>
    <row r="35" spans="1:8" ht="18">
      <c r="A35" s="3" t="s">
        <v>200</v>
      </c>
      <c r="B35" s="3">
        <v>10</v>
      </c>
      <c r="C35" s="3">
        <v>10493</v>
      </c>
      <c r="D35" s="3">
        <v>4584</v>
      </c>
      <c r="E35" s="3">
        <v>95</v>
      </c>
      <c r="F35" s="3" t="s">
        <v>47</v>
      </c>
      <c r="G35" s="3" t="s">
        <v>48</v>
      </c>
      <c r="H35" s="3" t="s">
        <v>51</v>
      </c>
    </row>
    <row r="36" spans="1:8" ht="18">
      <c r="A36" s="12" t="s">
        <v>201</v>
      </c>
      <c r="B36" s="3">
        <v>7</v>
      </c>
      <c r="C36" s="3">
        <v>5236</v>
      </c>
      <c r="D36" s="3">
        <v>3685</v>
      </c>
      <c r="E36" s="3">
        <v>46</v>
      </c>
      <c r="F36" s="3" t="s">
        <v>53</v>
      </c>
      <c r="G36" s="3" t="s">
        <v>54</v>
      </c>
      <c r="H36" s="3" t="s">
        <v>52</v>
      </c>
    </row>
    <row r="37" spans="1:8" ht="18">
      <c r="A37" s="12" t="s">
        <v>202</v>
      </c>
      <c r="B37" s="3">
        <v>8</v>
      </c>
      <c r="C37" s="3">
        <v>2899</v>
      </c>
      <c r="D37" s="3">
        <v>973</v>
      </c>
      <c r="E37" s="3">
        <v>47</v>
      </c>
      <c r="F37" s="3" t="s">
        <v>53</v>
      </c>
      <c r="G37" s="3" t="s">
        <v>54</v>
      </c>
      <c r="H37" s="3" t="s">
        <v>55</v>
      </c>
    </row>
    <row r="38" spans="1:8" ht="18">
      <c r="A38" s="3" t="s">
        <v>203</v>
      </c>
      <c r="B38" s="3">
        <v>4</v>
      </c>
      <c r="C38" s="3">
        <v>3992</v>
      </c>
      <c r="D38" s="3">
        <v>3770</v>
      </c>
      <c r="E38" s="3">
        <v>55</v>
      </c>
      <c r="F38" s="3" t="s">
        <v>57</v>
      </c>
      <c r="G38" s="3" t="s">
        <v>58</v>
      </c>
      <c r="H38" s="3" t="s">
        <v>56</v>
      </c>
    </row>
    <row r="39" spans="1:8" ht="18">
      <c r="A39" s="3" t="s">
        <v>204</v>
      </c>
      <c r="B39" s="3">
        <v>5</v>
      </c>
      <c r="C39" s="3">
        <v>4458</v>
      </c>
      <c r="D39" s="3">
        <v>3759</v>
      </c>
      <c r="E39" s="3">
        <v>28</v>
      </c>
      <c r="F39" s="3" t="s">
        <v>57</v>
      </c>
      <c r="G39" s="3" t="s">
        <v>58</v>
      </c>
      <c r="H39" s="3" t="s">
        <v>59</v>
      </c>
    </row>
    <row r="40" spans="1:8" ht="18">
      <c r="A40" s="3" t="s">
        <v>205</v>
      </c>
      <c r="B40" s="3">
        <v>5</v>
      </c>
      <c r="C40" s="3">
        <v>7858</v>
      </c>
      <c r="D40" s="3">
        <v>6409</v>
      </c>
      <c r="E40" s="3">
        <v>21</v>
      </c>
      <c r="F40" s="3" t="s">
        <v>57</v>
      </c>
      <c r="G40" s="3" t="s">
        <v>58</v>
      </c>
      <c r="H40" s="3" t="s">
        <v>60</v>
      </c>
    </row>
    <row r="41" spans="1:8" ht="18">
      <c r="A41" s="3" t="s">
        <v>206</v>
      </c>
      <c r="B41" s="3">
        <v>8</v>
      </c>
      <c r="C41" s="3">
        <v>4317</v>
      </c>
      <c r="D41" s="3">
        <v>1780</v>
      </c>
      <c r="E41" s="3">
        <v>23</v>
      </c>
      <c r="F41" s="3" t="s">
        <v>57</v>
      </c>
      <c r="G41" s="3" t="s">
        <v>58</v>
      </c>
      <c r="H41" s="3" t="s">
        <v>61</v>
      </c>
    </row>
    <row r="42" spans="1:8" ht="18">
      <c r="A42" s="3" t="s">
        <v>207</v>
      </c>
      <c r="B42" s="3">
        <v>5</v>
      </c>
      <c r="C42" s="3">
        <v>359</v>
      </c>
      <c r="D42" s="3">
        <v>272</v>
      </c>
      <c r="E42" s="3">
        <v>17</v>
      </c>
      <c r="F42" s="3" t="s">
        <v>63</v>
      </c>
      <c r="G42" s="3" t="s">
        <v>64</v>
      </c>
      <c r="H42" s="3" t="s">
        <v>62</v>
      </c>
    </row>
    <row r="43" spans="1:8" ht="18">
      <c r="A43" s="12" t="s">
        <v>208</v>
      </c>
      <c r="B43" s="3">
        <v>3</v>
      </c>
      <c r="C43" s="3">
        <v>241</v>
      </c>
      <c r="D43" s="3">
        <v>203</v>
      </c>
      <c r="E43" s="3">
        <v>13</v>
      </c>
      <c r="F43" s="3" t="s">
        <v>63</v>
      </c>
      <c r="G43" s="3" t="s">
        <v>64</v>
      </c>
      <c r="H43" s="3" t="s">
        <v>65</v>
      </c>
    </row>
    <row r="44" spans="1:8" ht="18">
      <c r="A44" s="3" t="s">
        <v>68</v>
      </c>
      <c r="B44" s="3">
        <v>9</v>
      </c>
      <c r="C44" s="3">
        <v>5884</v>
      </c>
      <c r="D44" s="3">
        <v>2539</v>
      </c>
      <c r="E44" s="3">
        <v>19</v>
      </c>
      <c r="F44" s="3" t="s">
        <v>67</v>
      </c>
      <c r="G44" s="3" t="s">
        <v>68</v>
      </c>
      <c r="H44" s="3" t="s">
        <v>66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B1BF9-9880-8E41-9F4C-4DE08FB52D5B}">
  <dimension ref="A1:M49"/>
  <sheetViews>
    <sheetView zoomScaleNormal="100" workbookViewId="0">
      <pane ySplit="1" topLeftCell="A2" activePane="bottomLeft" state="frozen"/>
      <selection pane="bottomLeft"/>
    </sheetView>
  </sheetViews>
  <sheetFormatPr baseColWidth="10" defaultRowHeight="16"/>
  <cols>
    <col min="1" max="1" width="18.83203125" customWidth="1"/>
    <col min="2" max="2" width="21.1640625" bestFit="1" customWidth="1"/>
    <col min="3" max="3" width="19.6640625" bestFit="1" customWidth="1"/>
    <col min="4" max="4" width="14.33203125" bestFit="1" customWidth="1"/>
    <col min="5" max="5" width="11.6640625" bestFit="1" customWidth="1"/>
    <col min="6" max="6" width="17.1640625" bestFit="1" customWidth="1"/>
    <col min="7" max="7" width="14.33203125" bestFit="1" customWidth="1"/>
    <col min="8" max="8" width="47.33203125" style="14" bestFit="1" customWidth="1"/>
    <col min="9" max="9" width="44" bestFit="1" customWidth="1"/>
    <col min="10" max="10" width="39" style="14" bestFit="1" customWidth="1"/>
    <col min="11" max="11" width="39" customWidth="1"/>
    <col min="12" max="12" width="44" hidden="1" customWidth="1"/>
    <col min="13" max="13" width="35.6640625" hidden="1" customWidth="1"/>
  </cols>
  <sheetData>
    <row r="1" spans="1:13" ht="58" customHeight="1">
      <c r="A1" s="2" t="s">
        <v>157</v>
      </c>
      <c r="B1" s="2"/>
      <c r="C1" s="2"/>
      <c r="D1" s="2"/>
      <c r="E1" s="2"/>
      <c r="F1" s="2"/>
      <c r="G1" s="2"/>
      <c r="H1" s="13"/>
      <c r="I1" s="2"/>
      <c r="J1" s="13"/>
      <c r="K1" s="2"/>
      <c r="L1" s="2"/>
      <c r="M1" s="2"/>
    </row>
    <row r="2" spans="1:13" ht="25" customHeight="1">
      <c r="A2" s="20" t="s">
        <v>0</v>
      </c>
      <c r="B2" s="19" t="s">
        <v>155</v>
      </c>
      <c r="C2" s="19"/>
      <c r="D2" s="19" t="s">
        <v>73</v>
      </c>
      <c r="E2" s="19"/>
      <c r="F2" s="19" t="s">
        <v>156</v>
      </c>
      <c r="G2" s="19"/>
      <c r="H2" s="21" t="s">
        <v>150</v>
      </c>
      <c r="I2" s="19" t="s">
        <v>152</v>
      </c>
      <c r="J2" s="21" t="s">
        <v>151</v>
      </c>
      <c r="K2" s="19" t="s">
        <v>153</v>
      </c>
      <c r="L2" s="19" t="s">
        <v>74</v>
      </c>
      <c r="M2" s="19" t="s">
        <v>75</v>
      </c>
    </row>
    <row r="3" spans="1:13" ht="25" customHeight="1">
      <c r="A3" s="20"/>
      <c r="B3" s="6" t="s">
        <v>70</v>
      </c>
      <c r="C3" s="6" t="s">
        <v>72</v>
      </c>
      <c r="D3" s="6" t="s">
        <v>70</v>
      </c>
      <c r="E3" s="6" t="s">
        <v>72</v>
      </c>
      <c r="F3" s="6" t="s">
        <v>70</v>
      </c>
      <c r="G3" s="6" t="s">
        <v>72</v>
      </c>
      <c r="H3" s="21"/>
      <c r="I3" s="19"/>
      <c r="J3" s="21"/>
      <c r="K3" s="19"/>
      <c r="L3" s="19"/>
      <c r="M3" s="19"/>
    </row>
    <row r="4" spans="1:13" ht="18">
      <c r="A4" s="3" t="s">
        <v>168</v>
      </c>
      <c r="B4" s="3">
        <v>0.81699999999999995</v>
      </c>
      <c r="C4" s="3">
        <v>4.0000000000000001E-3</v>
      </c>
      <c r="D4" s="3">
        <v>0.96499999999999997</v>
      </c>
      <c r="E4" s="3">
        <v>2E-3</v>
      </c>
      <c r="F4" s="3">
        <v>0.98099999999999998</v>
      </c>
      <c r="G4" s="3">
        <v>2.1999999999999999E-2</v>
      </c>
      <c r="H4" s="3">
        <f>F4-B4</f>
        <v>0.16400000000000003</v>
      </c>
      <c r="I4" s="3">
        <f>G4-C4</f>
        <v>1.7999999999999999E-2</v>
      </c>
      <c r="J4" s="3">
        <f>F4-D4</f>
        <v>1.6000000000000014E-2</v>
      </c>
      <c r="K4" s="3">
        <f>G4-E4</f>
        <v>1.9999999999999997E-2</v>
      </c>
      <c r="L4" s="3">
        <v>1.953125E-3</v>
      </c>
      <c r="M4" s="3">
        <v>9.765625E-3</v>
      </c>
    </row>
    <row r="5" spans="1:13" ht="18">
      <c r="A5" s="3" t="s">
        <v>169</v>
      </c>
      <c r="B5" s="3">
        <v>0.96</v>
      </c>
      <c r="C5" s="3">
        <v>7.0000000000000001E-3</v>
      </c>
      <c r="D5" s="3">
        <v>0.99299999999999999</v>
      </c>
      <c r="E5" s="3">
        <v>1E-3</v>
      </c>
      <c r="F5" s="3">
        <v>0.998</v>
      </c>
      <c r="G5" s="3">
        <v>2E-3</v>
      </c>
      <c r="H5" s="3">
        <f>F5-B5</f>
        <v>3.8000000000000034E-2</v>
      </c>
      <c r="I5" s="3">
        <f t="shared" ref="H5:I45" si="0">G5-C5</f>
        <v>-5.0000000000000001E-3</v>
      </c>
      <c r="J5" s="3">
        <f t="shared" ref="J5:K45" si="1">F5-D5</f>
        <v>5.0000000000000044E-3</v>
      </c>
      <c r="K5" s="3">
        <f>G5-E5</f>
        <v>1E-3</v>
      </c>
      <c r="L5" s="3">
        <v>1.953125E-3</v>
      </c>
      <c r="M5" s="3">
        <v>1.953125E-3</v>
      </c>
    </row>
    <row r="6" spans="1:13" ht="18">
      <c r="A6" s="3" t="s">
        <v>170</v>
      </c>
      <c r="B6" s="3">
        <v>0.88100000000000001</v>
      </c>
      <c r="C6" s="3">
        <v>8.0000000000000002E-3</v>
      </c>
      <c r="D6" s="3">
        <v>0.98699999999999999</v>
      </c>
      <c r="E6" s="3">
        <v>1E-3</v>
      </c>
      <c r="F6" s="3">
        <v>0.99299999999999999</v>
      </c>
      <c r="G6" s="3">
        <v>6.0000000000000001E-3</v>
      </c>
      <c r="H6" s="3">
        <f t="shared" si="0"/>
        <v>0.11199999999999999</v>
      </c>
      <c r="I6" s="3">
        <f t="shared" si="0"/>
        <v>-2E-3</v>
      </c>
      <c r="J6" s="3">
        <f t="shared" si="1"/>
        <v>6.0000000000000053E-3</v>
      </c>
      <c r="K6" s="3">
        <f t="shared" si="1"/>
        <v>5.0000000000000001E-3</v>
      </c>
      <c r="L6" s="3">
        <v>3.90625E-3</v>
      </c>
      <c r="M6" s="3">
        <v>0.322265625</v>
      </c>
    </row>
    <row r="7" spans="1:13" ht="18">
      <c r="A7" s="3" t="s">
        <v>171</v>
      </c>
      <c r="B7" s="3">
        <v>0.92100000000000004</v>
      </c>
      <c r="C7" s="3">
        <v>1.7000000000000001E-2</v>
      </c>
      <c r="D7" s="3">
        <v>0.997</v>
      </c>
      <c r="E7" s="3">
        <v>0</v>
      </c>
      <c r="F7" s="3">
        <v>0.999</v>
      </c>
      <c r="G7" s="3">
        <v>2E-3</v>
      </c>
      <c r="H7" s="3">
        <f>F7-B7</f>
        <v>7.7999999999999958E-2</v>
      </c>
      <c r="I7" s="3">
        <f>G7-C7</f>
        <v>-1.5000000000000001E-2</v>
      </c>
      <c r="J7" s="3">
        <f>F7-D7</f>
        <v>2.0000000000000018E-3</v>
      </c>
      <c r="K7" s="3">
        <f t="shared" si="1"/>
        <v>2E-3</v>
      </c>
      <c r="L7" s="3">
        <v>1.953125E-3</v>
      </c>
      <c r="M7" s="3">
        <v>1.953125E-3</v>
      </c>
    </row>
    <row r="8" spans="1:13" ht="18">
      <c r="A8" s="3" t="s">
        <v>172</v>
      </c>
      <c r="B8" s="3">
        <v>0.91300000000000003</v>
      </c>
      <c r="C8" s="3">
        <v>5.0000000000000001E-3</v>
      </c>
      <c r="D8" s="3">
        <v>0.998</v>
      </c>
      <c r="E8" s="3">
        <v>0</v>
      </c>
      <c r="F8" s="3">
        <v>0.999</v>
      </c>
      <c r="G8" s="3">
        <v>0</v>
      </c>
      <c r="H8" s="3">
        <f t="shared" si="0"/>
        <v>8.5999999999999965E-2</v>
      </c>
      <c r="I8" s="3">
        <f t="shared" si="0"/>
        <v>-5.0000000000000001E-3</v>
      </c>
      <c r="J8" s="3">
        <f t="shared" si="1"/>
        <v>1.0000000000000009E-3</v>
      </c>
      <c r="K8" s="3">
        <f t="shared" si="1"/>
        <v>0</v>
      </c>
      <c r="L8" s="3">
        <v>1.953125E-3</v>
      </c>
      <c r="M8" s="3">
        <v>1.953125E-3</v>
      </c>
    </row>
    <row r="9" spans="1:13" ht="18">
      <c r="A9" s="3" t="s">
        <v>173</v>
      </c>
      <c r="B9" s="3">
        <v>0.94699999999999995</v>
      </c>
      <c r="C9" s="3">
        <v>3.0000000000000001E-3</v>
      </c>
      <c r="D9" s="3">
        <v>0.996</v>
      </c>
      <c r="E9" s="3">
        <v>0</v>
      </c>
      <c r="F9" s="3">
        <v>0.998</v>
      </c>
      <c r="G9" s="3">
        <v>1E-3</v>
      </c>
      <c r="H9" s="3">
        <f t="shared" si="0"/>
        <v>5.1000000000000045E-2</v>
      </c>
      <c r="I9" s="3">
        <f>G9-C9</f>
        <v>-2E-3</v>
      </c>
      <c r="J9" s="3">
        <f t="shared" si="1"/>
        <v>2.0000000000000018E-3</v>
      </c>
      <c r="K9" s="3">
        <f t="shared" si="1"/>
        <v>1E-3</v>
      </c>
      <c r="L9" s="3">
        <v>1.953125E-3</v>
      </c>
      <c r="M9" s="3">
        <v>1.953125E-3</v>
      </c>
    </row>
    <row r="10" spans="1:13" ht="18">
      <c r="A10" s="3" t="s">
        <v>174</v>
      </c>
      <c r="B10" s="3">
        <v>0.73899999999999999</v>
      </c>
      <c r="C10" s="3">
        <v>7.0000000000000001E-3</v>
      </c>
      <c r="D10" s="3">
        <v>0.98899999999999999</v>
      </c>
      <c r="E10" s="3">
        <v>1E-3</v>
      </c>
      <c r="F10" s="3">
        <v>0.99399999999999999</v>
      </c>
      <c r="G10" s="3">
        <v>2E-3</v>
      </c>
      <c r="H10" s="3">
        <f t="shared" si="0"/>
        <v>0.255</v>
      </c>
      <c r="I10" s="3">
        <f t="shared" si="0"/>
        <v>-5.0000000000000001E-3</v>
      </c>
      <c r="J10" s="3">
        <f t="shared" si="1"/>
        <v>5.0000000000000044E-3</v>
      </c>
      <c r="K10" s="3">
        <f t="shared" si="1"/>
        <v>1E-3</v>
      </c>
      <c r="L10" s="3">
        <v>1.953125E-3</v>
      </c>
      <c r="M10" s="3">
        <v>1.953125E-3</v>
      </c>
    </row>
    <row r="11" spans="1:13" ht="18">
      <c r="A11" s="3" t="s">
        <v>175</v>
      </c>
      <c r="B11" s="3">
        <v>0.86699999999999999</v>
      </c>
      <c r="C11" s="3">
        <v>8.3000000000000004E-2</v>
      </c>
      <c r="D11" s="3">
        <v>0.998</v>
      </c>
      <c r="E11" s="3">
        <v>0</v>
      </c>
      <c r="F11" s="3">
        <v>0.998</v>
      </c>
      <c r="G11" s="3">
        <v>0</v>
      </c>
      <c r="H11" s="3">
        <f t="shared" si="0"/>
        <v>0.13100000000000001</v>
      </c>
      <c r="I11" s="3">
        <f t="shared" si="0"/>
        <v>-8.3000000000000004E-2</v>
      </c>
      <c r="J11" s="3">
        <f>F11-D11</f>
        <v>0</v>
      </c>
      <c r="K11" s="3">
        <f t="shared" si="1"/>
        <v>0</v>
      </c>
      <c r="L11" s="3">
        <v>1.953125E-3</v>
      </c>
      <c r="M11" s="3">
        <v>1.953125E-3</v>
      </c>
    </row>
    <row r="12" spans="1:13" ht="18">
      <c r="A12" s="3" t="s">
        <v>176</v>
      </c>
      <c r="B12" s="3">
        <v>0.96599999999999997</v>
      </c>
      <c r="C12" s="3">
        <v>2.7E-2</v>
      </c>
      <c r="D12" s="3">
        <v>1</v>
      </c>
      <c r="E12" s="3">
        <v>0</v>
      </c>
      <c r="F12" s="3">
        <v>1</v>
      </c>
      <c r="G12" s="3">
        <v>0</v>
      </c>
      <c r="H12" s="3">
        <f t="shared" si="0"/>
        <v>3.400000000000003E-2</v>
      </c>
      <c r="I12" s="3">
        <f t="shared" si="0"/>
        <v>-2.7E-2</v>
      </c>
      <c r="J12" s="3">
        <f t="shared" si="1"/>
        <v>0</v>
      </c>
      <c r="K12" s="3">
        <f t="shared" si="1"/>
        <v>0</v>
      </c>
      <c r="L12" s="3">
        <v>8.3984375E-2</v>
      </c>
      <c r="M12" s="3">
        <v>2.734375E-2</v>
      </c>
    </row>
    <row r="13" spans="1:13" ht="18">
      <c r="A13" s="3" t="s">
        <v>177</v>
      </c>
      <c r="B13" s="3">
        <v>0.98299999999999998</v>
      </c>
      <c r="C13" s="3">
        <v>4.0000000000000001E-3</v>
      </c>
      <c r="D13" s="3">
        <v>0.98899999999999999</v>
      </c>
      <c r="E13" s="3">
        <v>3.0000000000000001E-3</v>
      </c>
      <c r="F13" s="3">
        <v>0.995</v>
      </c>
      <c r="G13" s="3">
        <v>2E-3</v>
      </c>
      <c r="H13" s="3">
        <f t="shared" si="0"/>
        <v>1.2000000000000011E-2</v>
      </c>
      <c r="I13" s="3">
        <f t="shared" si="0"/>
        <v>-2E-3</v>
      </c>
      <c r="J13" s="3">
        <f t="shared" si="1"/>
        <v>6.0000000000000053E-3</v>
      </c>
      <c r="K13" s="3">
        <f t="shared" si="1"/>
        <v>-1E-3</v>
      </c>
      <c r="L13" s="3">
        <v>1.953125E-3</v>
      </c>
      <c r="M13" s="3">
        <v>1.953125E-3</v>
      </c>
    </row>
    <row r="14" spans="1:13" ht="18">
      <c r="A14" s="3" t="s">
        <v>178</v>
      </c>
      <c r="B14" s="3">
        <v>0.81299999999999994</v>
      </c>
      <c r="C14" s="3">
        <v>6.0000000000000001E-3</v>
      </c>
      <c r="D14" s="3">
        <v>0.99</v>
      </c>
      <c r="E14" s="3">
        <v>1E-3</v>
      </c>
      <c r="F14" s="3">
        <v>0.99399999999999999</v>
      </c>
      <c r="G14" s="3">
        <v>1E-3</v>
      </c>
      <c r="H14" s="3">
        <f t="shared" si="0"/>
        <v>0.18100000000000005</v>
      </c>
      <c r="I14" s="3">
        <f t="shared" si="0"/>
        <v>-5.0000000000000001E-3</v>
      </c>
      <c r="J14" s="3">
        <f t="shared" si="1"/>
        <v>4.0000000000000036E-3</v>
      </c>
      <c r="K14" s="3">
        <f t="shared" si="1"/>
        <v>0</v>
      </c>
      <c r="L14" s="3">
        <v>1.953125E-3</v>
      </c>
      <c r="M14" s="3">
        <v>1.953125E-3</v>
      </c>
    </row>
    <row r="15" spans="1:13" ht="18">
      <c r="A15" s="3" t="s">
        <v>179</v>
      </c>
      <c r="B15" s="3">
        <v>0.95299999999999996</v>
      </c>
      <c r="C15" s="3">
        <v>3.7999999999999999E-2</v>
      </c>
      <c r="D15" s="3">
        <v>1</v>
      </c>
      <c r="E15" s="3">
        <v>0</v>
      </c>
      <c r="F15" s="3">
        <v>1</v>
      </c>
      <c r="G15" s="3">
        <v>0</v>
      </c>
      <c r="H15" s="3">
        <f t="shared" si="0"/>
        <v>4.7000000000000042E-2</v>
      </c>
      <c r="I15" s="3">
        <f t="shared" si="0"/>
        <v>-3.7999999999999999E-2</v>
      </c>
      <c r="J15" s="3">
        <f t="shared" si="1"/>
        <v>0</v>
      </c>
      <c r="K15" s="3">
        <f t="shared" si="1"/>
        <v>0</v>
      </c>
      <c r="L15" s="3">
        <v>0.193359375</v>
      </c>
      <c r="M15" s="3">
        <v>1.3671875E-2</v>
      </c>
    </row>
    <row r="16" spans="1:13" ht="18">
      <c r="A16" s="3" t="s">
        <v>180</v>
      </c>
      <c r="B16" s="3">
        <v>0.97199999999999998</v>
      </c>
      <c r="C16" s="3">
        <v>2E-3</v>
      </c>
      <c r="D16" s="3">
        <v>1</v>
      </c>
      <c r="E16" s="3">
        <v>0</v>
      </c>
      <c r="F16" s="3">
        <v>1</v>
      </c>
      <c r="G16" s="3">
        <v>0</v>
      </c>
      <c r="H16" s="3">
        <f t="shared" si="0"/>
        <v>2.8000000000000025E-2</v>
      </c>
      <c r="I16" s="3">
        <f t="shared" si="0"/>
        <v>-2E-3</v>
      </c>
      <c r="J16" s="3">
        <f t="shared" si="1"/>
        <v>0</v>
      </c>
      <c r="K16" s="3">
        <f t="shared" si="1"/>
        <v>0</v>
      </c>
      <c r="L16" s="3">
        <v>0.4921875</v>
      </c>
      <c r="M16" s="3">
        <v>4.8828125E-2</v>
      </c>
    </row>
    <row r="17" spans="1:13" ht="18">
      <c r="A17" s="3" t="s">
        <v>181</v>
      </c>
      <c r="B17" s="3">
        <v>0.97199999999999998</v>
      </c>
      <c r="C17" s="3">
        <v>6.0000000000000001E-3</v>
      </c>
      <c r="D17" s="3">
        <v>0.999</v>
      </c>
      <c r="E17" s="3">
        <v>0</v>
      </c>
      <c r="F17" s="3">
        <v>0.998</v>
      </c>
      <c r="G17" s="3">
        <v>3.0000000000000001E-3</v>
      </c>
      <c r="H17" s="3">
        <f t="shared" si="0"/>
        <v>2.6000000000000023E-2</v>
      </c>
      <c r="I17" s="3">
        <f t="shared" si="0"/>
        <v>-3.0000000000000001E-3</v>
      </c>
      <c r="J17" s="3">
        <f t="shared" si="1"/>
        <v>-1.0000000000000009E-3</v>
      </c>
      <c r="K17" s="3">
        <f t="shared" si="1"/>
        <v>3.0000000000000001E-3</v>
      </c>
      <c r="L17" s="3">
        <v>2.734375E-2</v>
      </c>
      <c r="M17" s="3">
        <v>9.765625E-3</v>
      </c>
    </row>
    <row r="18" spans="1:13" ht="18">
      <c r="A18" s="3" t="s">
        <v>182</v>
      </c>
      <c r="B18" s="3">
        <v>0.97299999999999998</v>
      </c>
      <c r="C18" s="3">
        <v>6.0000000000000001E-3</v>
      </c>
      <c r="D18" s="3">
        <v>0.999</v>
      </c>
      <c r="E18" s="3">
        <v>0</v>
      </c>
      <c r="F18" s="3">
        <v>0.999</v>
      </c>
      <c r="G18" s="3">
        <v>0</v>
      </c>
      <c r="H18" s="3">
        <f t="shared" si="0"/>
        <v>2.6000000000000023E-2</v>
      </c>
      <c r="I18" s="3">
        <f t="shared" si="0"/>
        <v>-6.0000000000000001E-3</v>
      </c>
      <c r="J18" s="3">
        <f t="shared" si="1"/>
        <v>0</v>
      </c>
      <c r="K18" s="3">
        <f t="shared" si="1"/>
        <v>0</v>
      </c>
      <c r="L18" s="3">
        <v>1.3671875E-2</v>
      </c>
      <c r="M18" s="3">
        <v>1.953125E-2</v>
      </c>
    </row>
    <row r="19" spans="1:13" ht="18">
      <c r="A19" s="3" t="s">
        <v>183</v>
      </c>
      <c r="B19" s="3">
        <v>0.95199999999999996</v>
      </c>
      <c r="C19" s="3">
        <v>5.0000000000000001E-3</v>
      </c>
      <c r="D19" s="3">
        <v>0.98599999999999999</v>
      </c>
      <c r="E19" s="3">
        <v>0</v>
      </c>
      <c r="F19" s="3">
        <v>0.99299999999999999</v>
      </c>
      <c r="G19" s="3">
        <v>1E-3</v>
      </c>
      <c r="H19" s="3">
        <f t="shared" si="0"/>
        <v>4.1000000000000036E-2</v>
      </c>
      <c r="I19" s="3">
        <f t="shared" si="0"/>
        <v>-4.0000000000000001E-3</v>
      </c>
      <c r="J19" s="3">
        <f t="shared" si="1"/>
        <v>7.0000000000000062E-3</v>
      </c>
      <c r="K19" s="3">
        <f t="shared" si="1"/>
        <v>1E-3</v>
      </c>
      <c r="L19" s="3">
        <v>1.953125E-3</v>
      </c>
      <c r="M19" s="3">
        <v>1.953125E-3</v>
      </c>
    </row>
    <row r="20" spans="1:13" ht="18">
      <c r="A20" s="3" t="s">
        <v>184</v>
      </c>
      <c r="B20" s="3">
        <v>0.77</v>
      </c>
      <c r="C20" s="3">
        <v>1.4E-2</v>
      </c>
      <c r="D20" s="3">
        <v>0.996</v>
      </c>
      <c r="E20" s="3">
        <v>0</v>
      </c>
      <c r="F20" s="3">
        <v>0.998</v>
      </c>
      <c r="G20" s="3">
        <v>0</v>
      </c>
      <c r="H20" s="3">
        <f t="shared" si="0"/>
        <v>0.22799999999999998</v>
      </c>
      <c r="I20" s="3">
        <f t="shared" si="0"/>
        <v>-1.4E-2</v>
      </c>
      <c r="J20" s="3">
        <f t="shared" si="1"/>
        <v>2.0000000000000018E-3</v>
      </c>
      <c r="K20" s="3">
        <f t="shared" si="1"/>
        <v>0</v>
      </c>
      <c r="L20" s="3">
        <v>1.953125E-3</v>
      </c>
      <c r="M20" s="3">
        <v>1.953125E-3</v>
      </c>
    </row>
    <row r="21" spans="1:13" ht="18">
      <c r="A21" s="3" t="s">
        <v>185</v>
      </c>
      <c r="B21" s="3">
        <v>0.89400000000000002</v>
      </c>
      <c r="C21" s="3">
        <v>8.9999999999999993E-3</v>
      </c>
      <c r="D21" s="3">
        <v>0.999</v>
      </c>
      <c r="E21" s="3">
        <v>0</v>
      </c>
      <c r="F21" s="3">
        <v>1</v>
      </c>
      <c r="G21" s="3">
        <v>0</v>
      </c>
      <c r="H21" s="3">
        <f t="shared" si="0"/>
        <v>0.10599999999999998</v>
      </c>
      <c r="I21" s="3">
        <f t="shared" si="0"/>
        <v>-8.9999999999999993E-3</v>
      </c>
      <c r="J21" s="3">
        <f t="shared" si="1"/>
        <v>1.0000000000000009E-3</v>
      </c>
      <c r="K21" s="3">
        <f t="shared" si="1"/>
        <v>0</v>
      </c>
      <c r="L21" s="3">
        <v>1.953125E-3</v>
      </c>
      <c r="M21" s="3">
        <v>1.953125E-3</v>
      </c>
    </row>
    <row r="22" spans="1:13" ht="18">
      <c r="A22" s="3" t="s">
        <v>186</v>
      </c>
      <c r="B22" s="3">
        <v>0.66500000000000004</v>
      </c>
      <c r="C22" s="3">
        <v>8.9999999999999993E-3</v>
      </c>
      <c r="D22" s="3">
        <v>0.998</v>
      </c>
      <c r="E22" s="3">
        <v>0</v>
      </c>
      <c r="F22" s="3">
        <v>0.96199999999999997</v>
      </c>
      <c r="G22" s="3">
        <v>9.0999999999999998E-2</v>
      </c>
      <c r="H22" s="3">
        <f t="shared" si="0"/>
        <v>0.29699999999999993</v>
      </c>
      <c r="I22" s="3">
        <f t="shared" si="0"/>
        <v>8.2000000000000003E-2</v>
      </c>
      <c r="J22" s="3">
        <f t="shared" si="1"/>
        <v>-3.6000000000000032E-2</v>
      </c>
      <c r="K22" s="3">
        <f t="shared" si="1"/>
        <v>9.0999999999999998E-2</v>
      </c>
      <c r="L22" s="3">
        <v>1.953125E-3</v>
      </c>
      <c r="M22" s="3">
        <v>3.90625E-3</v>
      </c>
    </row>
    <row r="23" spans="1:13" ht="18">
      <c r="A23" s="3" t="s">
        <v>187</v>
      </c>
      <c r="B23" s="3">
        <v>0.67300000000000004</v>
      </c>
      <c r="C23" s="3">
        <v>8.0000000000000002E-3</v>
      </c>
      <c r="D23" s="3">
        <v>0.99099999999999999</v>
      </c>
      <c r="E23" s="3">
        <v>0</v>
      </c>
      <c r="F23" s="3">
        <v>0.996</v>
      </c>
      <c r="G23" s="3">
        <v>1E-3</v>
      </c>
      <c r="H23" s="3">
        <f t="shared" si="0"/>
        <v>0.32299999999999995</v>
      </c>
      <c r="I23" s="3">
        <f t="shared" si="0"/>
        <v>-7.0000000000000001E-3</v>
      </c>
      <c r="J23" s="3">
        <f t="shared" si="1"/>
        <v>5.0000000000000044E-3</v>
      </c>
      <c r="K23" s="3">
        <f t="shared" si="1"/>
        <v>1E-3</v>
      </c>
      <c r="L23" s="3">
        <v>1.953125E-3</v>
      </c>
      <c r="M23" s="3">
        <v>1.953125E-3</v>
      </c>
    </row>
    <row r="24" spans="1:13" ht="18">
      <c r="A24" s="3" t="s">
        <v>188</v>
      </c>
      <c r="B24" s="3">
        <v>0.95199999999999996</v>
      </c>
      <c r="C24" s="3">
        <v>2.9000000000000001E-2</v>
      </c>
      <c r="D24" s="3">
        <v>1</v>
      </c>
      <c r="E24" s="3">
        <v>0</v>
      </c>
      <c r="F24" s="3">
        <v>1</v>
      </c>
      <c r="G24" s="3">
        <v>0</v>
      </c>
      <c r="H24" s="3">
        <f t="shared" si="0"/>
        <v>4.8000000000000043E-2</v>
      </c>
      <c r="I24" s="3">
        <f t="shared" si="0"/>
        <v>-2.9000000000000001E-2</v>
      </c>
      <c r="J24" s="3">
        <f t="shared" si="1"/>
        <v>0</v>
      </c>
      <c r="K24" s="3">
        <f t="shared" si="1"/>
        <v>0</v>
      </c>
      <c r="L24" s="3">
        <v>1.953125E-3</v>
      </c>
      <c r="M24" s="3">
        <v>1.953125E-3</v>
      </c>
    </row>
    <row r="25" spans="1:13" ht="18">
      <c r="A25" s="3" t="s">
        <v>189</v>
      </c>
      <c r="B25" s="3">
        <v>0.96099999999999997</v>
      </c>
      <c r="C25" s="3">
        <v>1.6E-2</v>
      </c>
      <c r="D25" s="3">
        <v>1</v>
      </c>
      <c r="E25" s="3">
        <v>0</v>
      </c>
      <c r="F25" s="3">
        <v>1</v>
      </c>
      <c r="G25" s="3">
        <v>0</v>
      </c>
      <c r="H25" s="3">
        <f t="shared" si="0"/>
        <v>3.9000000000000035E-2</v>
      </c>
      <c r="I25" s="3">
        <f t="shared" si="0"/>
        <v>-1.6E-2</v>
      </c>
      <c r="J25" s="3">
        <f t="shared" si="1"/>
        <v>0</v>
      </c>
      <c r="K25" s="3">
        <f t="shared" si="1"/>
        <v>0</v>
      </c>
      <c r="L25" s="3">
        <v>1.953125E-3</v>
      </c>
      <c r="M25" s="3">
        <v>1.953125E-3</v>
      </c>
    </row>
    <row r="26" spans="1:13" ht="18">
      <c r="A26" s="3" t="s">
        <v>190</v>
      </c>
      <c r="B26" s="3">
        <v>0.94</v>
      </c>
      <c r="C26" s="3">
        <v>1.4E-2</v>
      </c>
      <c r="D26" s="3">
        <v>1</v>
      </c>
      <c r="E26" s="3">
        <v>0</v>
      </c>
      <c r="F26" s="3">
        <v>1</v>
      </c>
      <c r="G26" s="3">
        <v>0</v>
      </c>
      <c r="H26" s="3">
        <f t="shared" si="0"/>
        <v>6.0000000000000053E-2</v>
      </c>
      <c r="I26" s="3">
        <f t="shared" si="0"/>
        <v>-1.4E-2</v>
      </c>
      <c r="J26" s="3">
        <f t="shared" si="1"/>
        <v>0</v>
      </c>
      <c r="K26" s="3">
        <f t="shared" si="1"/>
        <v>0</v>
      </c>
      <c r="L26" s="3">
        <v>1.953125E-3</v>
      </c>
      <c r="M26" s="3">
        <v>1.953125E-3</v>
      </c>
    </row>
    <row r="27" spans="1:13" ht="18">
      <c r="A27" s="3" t="s">
        <v>191</v>
      </c>
      <c r="B27" s="3">
        <v>0.9</v>
      </c>
      <c r="C27" s="3">
        <v>4.5999999999999999E-2</v>
      </c>
      <c r="D27" s="3">
        <v>0.999</v>
      </c>
      <c r="E27" s="3">
        <v>0</v>
      </c>
      <c r="F27" s="3">
        <v>1</v>
      </c>
      <c r="G27" s="3">
        <v>0</v>
      </c>
      <c r="H27" s="3">
        <f t="shared" si="0"/>
        <v>9.9999999999999978E-2</v>
      </c>
      <c r="I27" s="3">
        <f t="shared" si="0"/>
        <v>-4.5999999999999999E-2</v>
      </c>
      <c r="J27" s="3">
        <f t="shared" si="1"/>
        <v>1.0000000000000009E-3</v>
      </c>
      <c r="K27" s="3">
        <f t="shared" si="1"/>
        <v>0</v>
      </c>
      <c r="L27" s="3">
        <v>1.953125E-3</v>
      </c>
      <c r="M27" s="3">
        <v>1.953125E-3</v>
      </c>
    </row>
    <row r="28" spans="1:13" ht="18">
      <c r="A28" s="3" t="s">
        <v>192</v>
      </c>
      <c r="B28" s="3">
        <v>0.85899999999999999</v>
      </c>
      <c r="C28" s="3">
        <v>8.9999999999999993E-3</v>
      </c>
      <c r="D28" s="3">
        <v>0.995</v>
      </c>
      <c r="E28" s="3">
        <v>0</v>
      </c>
      <c r="F28" s="3">
        <v>0.998</v>
      </c>
      <c r="G28" s="3">
        <v>0</v>
      </c>
      <c r="H28" s="3">
        <f t="shared" si="0"/>
        <v>0.13900000000000001</v>
      </c>
      <c r="I28" s="3">
        <f t="shared" si="0"/>
        <v>-8.9999999999999993E-3</v>
      </c>
      <c r="J28" s="3">
        <f t="shared" si="1"/>
        <v>3.0000000000000027E-3</v>
      </c>
      <c r="K28" s="3">
        <f t="shared" si="1"/>
        <v>0</v>
      </c>
      <c r="L28" s="3">
        <v>1.953125E-3</v>
      </c>
      <c r="M28" s="3">
        <v>1.953125E-3</v>
      </c>
    </row>
    <row r="29" spans="1:13" ht="18">
      <c r="A29" s="3" t="s">
        <v>193</v>
      </c>
      <c r="B29" s="3">
        <v>0.93799999999999994</v>
      </c>
      <c r="C29" s="3">
        <v>4.0000000000000001E-3</v>
      </c>
      <c r="D29" s="3">
        <v>0.99399999999999999</v>
      </c>
      <c r="E29" s="3">
        <v>1E-3</v>
      </c>
      <c r="F29" s="3">
        <v>0.995</v>
      </c>
      <c r="G29" s="3">
        <v>2E-3</v>
      </c>
      <c r="H29" s="3">
        <f t="shared" si="0"/>
        <v>5.7000000000000051E-2</v>
      </c>
      <c r="I29" s="3">
        <f t="shared" si="0"/>
        <v>-2E-3</v>
      </c>
      <c r="J29" s="3">
        <f t="shared" si="1"/>
        <v>1.0000000000000009E-3</v>
      </c>
      <c r="K29" s="3">
        <f t="shared" si="1"/>
        <v>1E-3</v>
      </c>
      <c r="L29" s="3">
        <v>1.953125E-3</v>
      </c>
      <c r="M29" s="3">
        <v>1.953125E-3</v>
      </c>
    </row>
    <row r="30" spans="1:13" ht="18">
      <c r="A30" s="3" t="s">
        <v>194</v>
      </c>
      <c r="B30" s="3">
        <v>0.95</v>
      </c>
      <c r="C30" s="3">
        <v>6.0000000000000001E-3</v>
      </c>
      <c r="D30" s="3">
        <v>0.99199999999999999</v>
      </c>
      <c r="E30" s="3">
        <v>1E-3</v>
      </c>
      <c r="F30" s="3">
        <v>0.995</v>
      </c>
      <c r="G30" s="3">
        <v>2E-3</v>
      </c>
      <c r="H30" s="3">
        <f>F30-B30</f>
        <v>4.500000000000004E-2</v>
      </c>
      <c r="I30" s="3">
        <f t="shared" si="0"/>
        <v>-4.0000000000000001E-3</v>
      </c>
      <c r="J30" s="3">
        <f t="shared" si="1"/>
        <v>3.0000000000000027E-3</v>
      </c>
      <c r="K30" s="3">
        <f t="shared" si="1"/>
        <v>1E-3</v>
      </c>
      <c r="L30" s="3">
        <v>1</v>
      </c>
      <c r="M30" s="3">
        <v>0.16015625</v>
      </c>
    </row>
    <row r="31" spans="1:13" ht="18">
      <c r="A31" s="3" t="s">
        <v>195</v>
      </c>
      <c r="B31" s="3">
        <v>0.97399999999999998</v>
      </c>
      <c r="C31" s="3">
        <v>4.0000000000000001E-3</v>
      </c>
      <c r="D31" s="3">
        <v>0.998</v>
      </c>
      <c r="E31" s="3">
        <v>1E-3</v>
      </c>
      <c r="F31" s="3">
        <v>0.89</v>
      </c>
      <c r="G31" s="3">
        <v>0.17199999999999999</v>
      </c>
      <c r="H31" s="3">
        <f>F31-B31</f>
        <v>-8.3999999999999964E-2</v>
      </c>
      <c r="I31" s="3">
        <f>G31-C31</f>
        <v>0.16799999999999998</v>
      </c>
      <c r="J31" s="3">
        <f t="shared" si="1"/>
        <v>-0.10799999999999998</v>
      </c>
      <c r="K31" s="3">
        <f t="shared" si="1"/>
        <v>0.17099999999999999</v>
      </c>
      <c r="L31" s="3">
        <v>1.953125E-3</v>
      </c>
      <c r="M31" s="3">
        <v>1.953125E-3</v>
      </c>
    </row>
    <row r="32" spans="1:13" ht="18">
      <c r="A32" s="3" t="s">
        <v>196</v>
      </c>
      <c r="B32" s="3">
        <v>0.95699999999999996</v>
      </c>
      <c r="C32" s="3">
        <v>1.9E-2</v>
      </c>
      <c r="D32" s="3">
        <v>0.99199999999999999</v>
      </c>
      <c r="E32" s="3">
        <v>1E-3</v>
      </c>
      <c r="F32" s="3">
        <v>0.98499999999999999</v>
      </c>
      <c r="G32" s="3">
        <v>2.1000000000000001E-2</v>
      </c>
      <c r="H32" s="3">
        <f t="shared" si="0"/>
        <v>2.8000000000000025E-2</v>
      </c>
      <c r="I32" s="3">
        <f t="shared" si="0"/>
        <v>2.0000000000000018E-3</v>
      </c>
      <c r="J32" s="3">
        <f t="shared" si="1"/>
        <v>-7.0000000000000062E-3</v>
      </c>
      <c r="K32" s="3">
        <f t="shared" si="1"/>
        <v>0.02</v>
      </c>
      <c r="L32" s="3">
        <v>2.734375E-2</v>
      </c>
      <c r="M32" s="3">
        <v>1.953125E-3</v>
      </c>
    </row>
    <row r="33" spans="1:13" ht="18">
      <c r="A33" s="3" t="s">
        <v>197</v>
      </c>
      <c r="B33" s="3">
        <v>0.78600000000000003</v>
      </c>
      <c r="C33" s="3">
        <v>6.0000000000000001E-3</v>
      </c>
      <c r="D33" s="3">
        <v>0.996</v>
      </c>
      <c r="E33" s="3">
        <v>0</v>
      </c>
      <c r="F33" s="3">
        <v>0.996</v>
      </c>
      <c r="G33" s="3">
        <v>4.0000000000000001E-3</v>
      </c>
      <c r="H33" s="3">
        <f t="shared" si="0"/>
        <v>0.20999999999999996</v>
      </c>
      <c r="I33" s="3">
        <f t="shared" si="0"/>
        <v>-2E-3</v>
      </c>
      <c r="J33" s="3">
        <f t="shared" si="1"/>
        <v>0</v>
      </c>
      <c r="K33" s="3">
        <f t="shared" si="1"/>
        <v>4.0000000000000001E-3</v>
      </c>
      <c r="L33" s="3">
        <v>1.953125E-3</v>
      </c>
      <c r="M33" s="3">
        <v>1.953125E-3</v>
      </c>
    </row>
    <row r="34" spans="1:13" ht="18">
      <c r="A34" s="3" t="s">
        <v>198</v>
      </c>
      <c r="B34" s="3">
        <v>0.91200000000000003</v>
      </c>
      <c r="C34" s="3">
        <v>3.0000000000000001E-3</v>
      </c>
      <c r="D34" s="3">
        <v>0.998</v>
      </c>
      <c r="E34" s="3">
        <v>0</v>
      </c>
      <c r="F34" s="3">
        <v>0.998</v>
      </c>
      <c r="G34" s="3">
        <v>1E-3</v>
      </c>
      <c r="H34" s="3">
        <f t="shared" si="0"/>
        <v>8.5999999999999965E-2</v>
      </c>
      <c r="I34" s="3">
        <f t="shared" si="0"/>
        <v>-2E-3</v>
      </c>
      <c r="J34" s="3">
        <f t="shared" si="1"/>
        <v>0</v>
      </c>
      <c r="K34" s="3">
        <f t="shared" si="1"/>
        <v>1E-3</v>
      </c>
      <c r="L34" s="3">
        <v>1.953125E-3</v>
      </c>
      <c r="M34" s="3">
        <v>1.953125E-3</v>
      </c>
    </row>
    <row r="35" spans="1:13" ht="18">
      <c r="A35" s="3" t="s">
        <v>199</v>
      </c>
      <c r="B35" s="3">
        <v>0.86199999999999999</v>
      </c>
      <c r="C35" s="3">
        <v>8.0000000000000002E-3</v>
      </c>
      <c r="D35" s="3">
        <v>0.97699999999999998</v>
      </c>
      <c r="E35" s="3">
        <v>1E-3</v>
      </c>
      <c r="F35" s="3">
        <v>0.99099999999999999</v>
      </c>
      <c r="G35" s="3">
        <v>3.0000000000000001E-3</v>
      </c>
      <c r="H35" s="3">
        <f t="shared" si="0"/>
        <v>0.129</v>
      </c>
      <c r="I35" s="3">
        <f t="shared" si="0"/>
        <v>-5.0000000000000001E-3</v>
      </c>
      <c r="J35" s="3">
        <f t="shared" si="1"/>
        <v>1.4000000000000012E-2</v>
      </c>
      <c r="K35" s="3">
        <f t="shared" si="1"/>
        <v>2E-3</v>
      </c>
      <c r="L35" s="3">
        <v>1.953125E-3</v>
      </c>
      <c r="M35" s="3">
        <v>1.953125E-3</v>
      </c>
    </row>
    <row r="36" spans="1:13" ht="18">
      <c r="A36" s="3" t="s">
        <v>200</v>
      </c>
      <c r="B36" s="3">
        <v>0.85</v>
      </c>
      <c r="C36" s="3">
        <v>6.0000000000000001E-3</v>
      </c>
      <c r="D36" s="3">
        <v>0.99299999999999999</v>
      </c>
      <c r="E36" s="3">
        <v>0</v>
      </c>
      <c r="F36" s="3">
        <v>0.997</v>
      </c>
      <c r="G36" s="3">
        <v>1E-3</v>
      </c>
      <c r="H36" s="3">
        <f t="shared" si="0"/>
        <v>0.14700000000000002</v>
      </c>
      <c r="I36" s="3">
        <f t="shared" si="0"/>
        <v>-5.0000000000000001E-3</v>
      </c>
      <c r="J36" s="3">
        <f t="shared" si="1"/>
        <v>4.0000000000000036E-3</v>
      </c>
      <c r="K36" s="3">
        <f t="shared" si="1"/>
        <v>1E-3</v>
      </c>
      <c r="L36" s="3">
        <v>1.953125E-3</v>
      </c>
      <c r="M36" s="3">
        <v>1.953125E-3</v>
      </c>
    </row>
    <row r="37" spans="1:13" ht="18">
      <c r="A37" s="12" t="s">
        <v>201</v>
      </c>
      <c r="B37" s="3">
        <v>0.84299999999999997</v>
      </c>
      <c r="C37" s="3">
        <v>3.5000000000000003E-2</v>
      </c>
      <c r="D37" s="3">
        <v>0.997</v>
      </c>
      <c r="E37" s="3">
        <v>0</v>
      </c>
      <c r="F37" s="3">
        <v>0.999</v>
      </c>
      <c r="G37" s="3">
        <v>0</v>
      </c>
      <c r="H37" s="3">
        <f t="shared" si="0"/>
        <v>0.15600000000000003</v>
      </c>
      <c r="I37" s="3">
        <f t="shared" si="0"/>
        <v>-3.5000000000000003E-2</v>
      </c>
      <c r="J37" s="3">
        <f t="shared" si="1"/>
        <v>2.0000000000000018E-3</v>
      </c>
      <c r="K37" s="3">
        <f t="shared" si="1"/>
        <v>0</v>
      </c>
      <c r="L37" s="3">
        <v>1.953125E-3</v>
      </c>
      <c r="M37" s="3">
        <v>1.953125E-3</v>
      </c>
    </row>
    <row r="38" spans="1:13" ht="18">
      <c r="A38" s="12" t="s">
        <v>202</v>
      </c>
      <c r="B38" s="3">
        <v>0.89400000000000002</v>
      </c>
      <c r="C38" s="3">
        <v>6.0000000000000001E-3</v>
      </c>
      <c r="D38" s="3">
        <v>0.98299999999999998</v>
      </c>
      <c r="E38" s="3">
        <v>1E-3</v>
      </c>
      <c r="F38" s="3">
        <v>0.98799999999999999</v>
      </c>
      <c r="G38" s="3">
        <v>3.0000000000000001E-3</v>
      </c>
      <c r="H38" s="3">
        <f t="shared" si="0"/>
        <v>9.3999999999999972E-2</v>
      </c>
      <c r="I38" s="3">
        <f t="shared" si="0"/>
        <v>-3.0000000000000001E-3</v>
      </c>
      <c r="J38" s="3">
        <f t="shared" si="1"/>
        <v>5.0000000000000044E-3</v>
      </c>
      <c r="K38" s="3">
        <f t="shared" si="1"/>
        <v>2E-3</v>
      </c>
      <c r="L38" s="3">
        <v>1.953125E-3</v>
      </c>
      <c r="M38" s="3">
        <v>1.953125E-3</v>
      </c>
    </row>
    <row r="39" spans="1:13" ht="18">
      <c r="A39" s="3" t="s">
        <v>203</v>
      </c>
      <c r="B39" s="3">
        <v>0.89600000000000002</v>
      </c>
      <c r="C39" s="3">
        <v>8.4000000000000005E-2</v>
      </c>
      <c r="D39" s="3">
        <v>0.998</v>
      </c>
      <c r="E39" s="3">
        <v>0</v>
      </c>
      <c r="F39" s="3">
        <v>0.998</v>
      </c>
      <c r="G39" s="3">
        <v>0</v>
      </c>
      <c r="H39" s="3">
        <f t="shared" si="0"/>
        <v>0.10199999999999998</v>
      </c>
      <c r="I39" s="3">
        <f t="shared" si="0"/>
        <v>-8.4000000000000005E-2</v>
      </c>
      <c r="J39" s="3">
        <f t="shared" si="1"/>
        <v>0</v>
      </c>
      <c r="K39" s="3">
        <f t="shared" si="1"/>
        <v>0</v>
      </c>
      <c r="L39" s="3">
        <v>1.953125E-3</v>
      </c>
      <c r="M39" s="3">
        <v>1.953125E-3</v>
      </c>
    </row>
    <row r="40" spans="1:13" ht="18">
      <c r="A40" s="3" t="s">
        <v>204</v>
      </c>
      <c r="B40" s="3">
        <v>0.69799999999999995</v>
      </c>
      <c r="C40" s="3">
        <v>1.2E-2</v>
      </c>
      <c r="D40" s="3">
        <v>0.99199999999999999</v>
      </c>
      <c r="E40" s="3">
        <v>0</v>
      </c>
      <c r="F40" s="3">
        <v>0.99299999999999999</v>
      </c>
      <c r="G40" s="3">
        <v>2E-3</v>
      </c>
      <c r="H40" s="3">
        <f t="shared" si="0"/>
        <v>0.29500000000000004</v>
      </c>
      <c r="I40" s="3">
        <f t="shared" si="0"/>
        <v>-0.01</v>
      </c>
      <c r="J40" s="3">
        <f t="shared" si="1"/>
        <v>1.0000000000000009E-3</v>
      </c>
      <c r="K40" s="3">
        <f t="shared" si="1"/>
        <v>2E-3</v>
      </c>
      <c r="L40" s="3">
        <v>1.953125E-3</v>
      </c>
      <c r="M40" s="3">
        <v>1.953125E-3</v>
      </c>
    </row>
    <row r="41" spans="1:13" ht="18">
      <c r="A41" s="3" t="s">
        <v>205</v>
      </c>
      <c r="B41" s="3">
        <v>0.67400000000000004</v>
      </c>
      <c r="C41" s="3">
        <v>0.01</v>
      </c>
      <c r="D41" s="3">
        <v>0.98899999999999999</v>
      </c>
      <c r="E41" s="3">
        <v>0</v>
      </c>
      <c r="F41" s="3">
        <v>0.99099999999999999</v>
      </c>
      <c r="G41" s="3">
        <v>2E-3</v>
      </c>
      <c r="H41" s="3">
        <f t="shared" si="0"/>
        <v>0.31699999999999995</v>
      </c>
      <c r="I41" s="3">
        <f t="shared" si="0"/>
        <v>-8.0000000000000002E-3</v>
      </c>
      <c r="J41" s="3">
        <f t="shared" si="1"/>
        <v>2.0000000000000018E-3</v>
      </c>
      <c r="K41" s="3">
        <f t="shared" si="1"/>
        <v>2E-3</v>
      </c>
      <c r="L41" s="3">
        <v>1.953125E-3</v>
      </c>
      <c r="M41" s="3">
        <v>1.953125E-3</v>
      </c>
    </row>
    <row r="42" spans="1:13" ht="18">
      <c r="A42" s="3" t="s">
        <v>206</v>
      </c>
      <c r="B42" s="3">
        <v>0.93200000000000005</v>
      </c>
      <c r="C42" s="3">
        <v>5.0000000000000001E-3</v>
      </c>
      <c r="D42" s="3">
        <v>0.997</v>
      </c>
      <c r="E42" s="3">
        <v>0</v>
      </c>
      <c r="F42" s="3">
        <v>0.999</v>
      </c>
      <c r="G42" s="3">
        <v>0</v>
      </c>
      <c r="H42" s="3">
        <f t="shared" si="0"/>
        <v>6.6999999999999948E-2</v>
      </c>
      <c r="I42" s="3">
        <f t="shared" si="0"/>
        <v>-5.0000000000000001E-3</v>
      </c>
      <c r="J42" s="3">
        <f t="shared" si="1"/>
        <v>2.0000000000000018E-3</v>
      </c>
      <c r="K42" s="3">
        <f t="shared" si="1"/>
        <v>0</v>
      </c>
      <c r="L42" s="3">
        <v>1.953125E-3</v>
      </c>
      <c r="M42" s="3">
        <v>7.6857940552132629E-3</v>
      </c>
    </row>
    <row r="43" spans="1:13" ht="18">
      <c r="A43" s="3" t="s">
        <v>207</v>
      </c>
      <c r="B43" s="3">
        <v>0.85299999999999998</v>
      </c>
      <c r="C43" s="3">
        <v>8.9999999999999993E-3</v>
      </c>
      <c r="D43" s="3">
        <v>0.99199999999999999</v>
      </c>
      <c r="E43" s="3">
        <v>3.0000000000000001E-3</v>
      </c>
      <c r="F43" s="3">
        <v>0.999</v>
      </c>
      <c r="G43" s="3">
        <v>2E-3</v>
      </c>
      <c r="H43" s="3">
        <f t="shared" si="0"/>
        <v>0.14600000000000002</v>
      </c>
      <c r="I43" s="3">
        <f t="shared" si="0"/>
        <v>-6.9999999999999993E-3</v>
      </c>
      <c r="J43" s="3">
        <f t="shared" si="1"/>
        <v>7.0000000000000062E-3</v>
      </c>
      <c r="K43" s="3">
        <f t="shared" si="1"/>
        <v>-1E-3</v>
      </c>
      <c r="L43" s="3">
        <v>0.4921875</v>
      </c>
      <c r="M43" s="3">
        <v>1.953125E-3</v>
      </c>
    </row>
    <row r="44" spans="1:13" ht="18">
      <c r="A44" s="12" t="s">
        <v>208</v>
      </c>
      <c r="B44" s="3">
        <v>0.85499999999999998</v>
      </c>
      <c r="C44" s="3">
        <v>2.9000000000000001E-2</v>
      </c>
      <c r="D44" s="3">
        <v>0.99099999999999999</v>
      </c>
      <c r="E44" s="3">
        <v>3.0000000000000001E-3</v>
      </c>
      <c r="F44" s="3">
        <v>0.999</v>
      </c>
      <c r="G44" s="3">
        <v>1E-3</v>
      </c>
      <c r="H44" s="3">
        <f t="shared" si="0"/>
        <v>0.14400000000000002</v>
      </c>
      <c r="I44" s="3">
        <f t="shared" si="0"/>
        <v>-2.8000000000000001E-2</v>
      </c>
      <c r="J44" s="3">
        <f t="shared" si="1"/>
        <v>8.0000000000000071E-3</v>
      </c>
      <c r="K44" s="3">
        <f t="shared" si="1"/>
        <v>-2E-3</v>
      </c>
      <c r="L44" s="3">
        <v>0.845703125</v>
      </c>
      <c r="M44" s="3">
        <v>1.953125E-3</v>
      </c>
    </row>
    <row r="45" spans="1:13" ht="18">
      <c r="A45" s="3" t="s">
        <v>68</v>
      </c>
      <c r="B45" s="3">
        <v>0.89700000000000002</v>
      </c>
      <c r="C45" s="3">
        <v>7.0000000000000001E-3</v>
      </c>
      <c r="D45" s="3">
        <v>0.999</v>
      </c>
      <c r="E45" s="3">
        <v>0</v>
      </c>
      <c r="F45" s="3">
        <v>0.999</v>
      </c>
      <c r="G45" s="3">
        <v>0</v>
      </c>
      <c r="H45" s="3">
        <f t="shared" si="0"/>
        <v>0.10199999999999998</v>
      </c>
      <c r="I45" s="3">
        <f t="shared" si="0"/>
        <v>-7.0000000000000001E-3</v>
      </c>
      <c r="J45" s="3">
        <f t="shared" si="1"/>
        <v>0</v>
      </c>
      <c r="K45" s="3">
        <f t="shared" si="1"/>
        <v>0</v>
      </c>
      <c r="L45" s="3">
        <v>1.953125E-3</v>
      </c>
      <c r="M45" s="3">
        <v>3.90625E-3</v>
      </c>
    </row>
    <row r="46" spans="1:13" ht="18">
      <c r="I46" s="3"/>
    </row>
    <row r="48" spans="1:13" ht="18">
      <c r="I48" s="3"/>
    </row>
    <row r="49" spans="9:9" ht="18">
      <c r="I49" s="3"/>
    </row>
  </sheetData>
  <mergeCells count="10">
    <mergeCell ref="M2:M3"/>
    <mergeCell ref="B2:C2"/>
    <mergeCell ref="D2:E2"/>
    <mergeCell ref="F2:G2"/>
    <mergeCell ref="A2:A3"/>
    <mergeCell ref="L2:L3"/>
    <mergeCell ref="H2:H3"/>
    <mergeCell ref="J2:J3"/>
    <mergeCell ref="I2:I3"/>
    <mergeCell ref="K2:K3"/>
  </mergeCells>
  <phoneticPr fontId="1" type="noConversion"/>
  <conditionalFormatting sqref="H1:H1048576">
    <cfRule type="cellIs" dxfId="8" priority="12" operator="lessThan">
      <formula>0</formula>
    </cfRule>
  </conditionalFormatting>
  <conditionalFormatting sqref="H4:H45">
    <cfRule type="cellIs" dxfId="7" priority="8" operator="equal">
      <formula>0</formula>
    </cfRule>
  </conditionalFormatting>
  <conditionalFormatting sqref="I1 I4:I1048576">
    <cfRule type="cellIs" dxfId="6" priority="10" operator="greaterThan">
      <formula>0</formula>
    </cfRule>
  </conditionalFormatting>
  <conditionalFormatting sqref="I4:I45">
    <cfRule type="cellIs" dxfId="5" priority="9" operator="equal">
      <formula>0</formula>
    </cfRule>
  </conditionalFormatting>
  <conditionalFormatting sqref="J1:J3 J46:J1048576">
    <cfRule type="cellIs" dxfId="4" priority="4" operator="lessThan">
      <formula>-0.0001</formula>
    </cfRule>
    <cfRule type="cellIs" dxfId="3" priority="6" operator="lessThan">
      <formula>0</formula>
    </cfRule>
  </conditionalFormatting>
  <conditionalFormatting sqref="J1:J1048576">
    <cfRule type="cellIs" dxfId="2" priority="2" operator="lessThan">
      <formula>-0.00001</formula>
    </cfRule>
  </conditionalFormatting>
  <conditionalFormatting sqref="K1 K4:K1048576">
    <cfRule type="cellIs" dxfId="1" priority="1" operator="greaterThan">
      <formula>0.0001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76703-3ED2-614C-A84E-96052CB950B6}">
  <dimension ref="A1:K44"/>
  <sheetViews>
    <sheetView zoomScaleNormal="100" workbookViewId="0"/>
  </sheetViews>
  <sheetFormatPr baseColWidth="10" defaultRowHeight="16"/>
  <cols>
    <col min="1" max="1" width="18.83203125" customWidth="1"/>
    <col min="2" max="4" width="23.6640625" style="17" bestFit="1" customWidth="1"/>
    <col min="5" max="5" width="19.6640625" style="17" bestFit="1" customWidth="1"/>
    <col min="6" max="6" width="12.1640625" style="17" bestFit="1" customWidth="1"/>
    <col min="7" max="7" width="33.33203125" style="17" bestFit="1" customWidth="1"/>
    <col min="8" max="8" width="27.83203125" style="17" bestFit="1" customWidth="1"/>
    <col min="9" max="9" width="27.5" style="17" bestFit="1" customWidth="1"/>
    <col min="10" max="10" width="31.83203125" style="17" bestFit="1" customWidth="1"/>
    <col min="11" max="11" width="10.83203125" style="17"/>
  </cols>
  <sheetData>
    <row r="1" spans="1:11" ht="58" customHeight="1">
      <c r="A1" s="2" t="s">
        <v>232</v>
      </c>
      <c r="B1" s="3"/>
      <c r="C1" s="3"/>
      <c r="D1" s="3"/>
      <c r="E1" s="3"/>
      <c r="F1" s="3"/>
      <c r="G1" s="3"/>
      <c r="H1" s="3"/>
      <c r="I1" s="3"/>
      <c r="J1" s="3"/>
    </row>
    <row r="2" spans="1:11" s="7" customFormat="1" ht="25" customHeight="1">
      <c r="A2" s="6" t="s">
        <v>222</v>
      </c>
      <c r="B2" s="6" t="s">
        <v>213</v>
      </c>
      <c r="C2" s="6" t="s">
        <v>214</v>
      </c>
      <c r="D2" s="6" t="s">
        <v>215</v>
      </c>
      <c r="E2" s="6" t="s">
        <v>216</v>
      </c>
      <c r="F2" s="6" t="s">
        <v>217</v>
      </c>
      <c r="G2" s="6" t="s">
        <v>218</v>
      </c>
      <c r="H2" s="6" t="s">
        <v>219</v>
      </c>
      <c r="I2" s="6" t="s">
        <v>220</v>
      </c>
      <c r="J2" s="6" t="s">
        <v>221</v>
      </c>
      <c r="K2" s="6"/>
    </row>
    <row r="3" spans="1:11" ht="18">
      <c r="A3" s="3" t="s">
        <v>168</v>
      </c>
      <c r="B3" s="3">
        <v>0.81986000000000003</v>
      </c>
      <c r="C3" s="3">
        <v>0.93308000000000002</v>
      </c>
      <c r="D3" s="3">
        <v>0.90998000000000001</v>
      </c>
      <c r="E3" s="3">
        <v>0.65910000000000002</v>
      </c>
      <c r="F3" s="3">
        <v>0.97699999999999998</v>
      </c>
      <c r="G3" s="3">
        <v>0.15714</v>
      </c>
      <c r="H3" s="3">
        <v>4.3920000000000001E-2</v>
      </c>
      <c r="I3" s="3">
        <v>6.7019999999999996E-2</v>
      </c>
      <c r="J3" s="3">
        <v>0.31790000000000002</v>
      </c>
    </row>
    <row r="4" spans="1:11" ht="18">
      <c r="A4" s="3" t="s">
        <v>169</v>
      </c>
      <c r="B4" s="3">
        <v>0.86636000000000002</v>
      </c>
      <c r="C4" s="3">
        <v>0.97036999999999995</v>
      </c>
      <c r="D4" s="3">
        <v>0.98065000000000002</v>
      </c>
      <c r="E4" s="3">
        <v>0.72840000000000005</v>
      </c>
      <c r="F4" s="3">
        <v>0.999</v>
      </c>
      <c r="G4" s="3">
        <v>0.13264000000000001</v>
      </c>
      <c r="H4" s="3">
        <v>2.8629999999999999E-2</v>
      </c>
      <c r="I4" s="3">
        <v>1.8350000000000002E-2</v>
      </c>
      <c r="J4" s="3">
        <v>0.27060000000000001</v>
      </c>
    </row>
    <row r="5" spans="1:11" ht="18">
      <c r="A5" s="3" t="s">
        <v>170</v>
      </c>
      <c r="B5" s="3">
        <v>0.87560000000000004</v>
      </c>
      <c r="C5" s="3">
        <v>0.91652999999999996</v>
      </c>
      <c r="D5" s="3">
        <v>0.93920999999999999</v>
      </c>
      <c r="E5" s="3">
        <v>0.49480000000000002</v>
      </c>
      <c r="F5" s="3">
        <v>0.995</v>
      </c>
      <c r="G5" s="3">
        <v>0.11940000000000001</v>
      </c>
      <c r="H5" s="3">
        <v>7.8469999999999998E-2</v>
      </c>
      <c r="I5" s="3">
        <v>5.5789999999999999E-2</v>
      </c>
      <c r="J5" s="3">
        <v>0.50019999999999998</v>
      </c>
    </row>
    <row r="6" spans="1:11" ht="18">
      <c r="A6" s="3" t="s">
        <v>171</v>
      </c>
      <c r="B6" s="3">
        <v>0.98834999999999995</v>
      </c>
      <c r="C6" s="3">
        <v>0.98821000000000003</v>
      </c>
      <c r="D6" s="3">
        <v>0.99287000000000003</v>
      </c>
      <c r="E6" s="3">
        <v>0.67230000000000001</v>
      </c>
      <c r="F6" s="3">
        <v>0.999</v>
      </c>
      <c r="G6" s="3">
        <v>1.065E-2</v>
      </c>
      <c r="H6" s="3">
        <v>1.0789999999999999E-2</v>
      </c>
      <c r="I6" s="3">
        <v>6.13E-3</v>
      </c>
      <c r="J6" s="3">
        <v>0.32669999999999999</v>
      </c>
    </row>
    <row r="7" spans="1:11" ht="18">
      <c r="A7" s="3" t="s">
        <v>172</v>
      </c>
      <c r="B7" s="3">
        <v>0.99287999999999998</v>
      </c>
      <c r="C7" s="3">
        <v>0.99490999999999996</v>
      </c>
      <c r="D7" s="3">
        <v>0.99050000000000005</v>
      </c>
      <c r="E7" s="3">
        <v>0.46229999999999999</v>
      </c>
      <c r="F7" s="3">
        <v>0.999</v>
      </c>
      <c r="G7" s="3">
        <v>6.1199999999999996E-3</v>
      </c>
      <c r="H7" s="3">
        <v>4.0899999999999999E-3</v>
      </c>
      <c r="I7" s="3">
        <v>8.5000000000000006E-3</v>
      </c>
      <c r="J7" s="3">
        <v>0.53669999999999995</v>
      </c>
    </row>
    <row r="8" spans="1:11" ht="18">
      <c r="A8" s="3" t="s">
        <v>173</v>
      </c>
      <c r="B8" s="3">
        <v>0.98382000000000003</v>
      </c>
      <c r="C8" s="3">
        <v>0.99312999999999996</v>
      </c>
      <c r="D8" s="3">
        <v>0.99233000000000005</v>
      </c>
      <c r="E8" s="3">
        <v>0.46179999999999999</v>
      </c>
      <c r="F8" s="3">
        <v>0.998</v>
      </c>
      <c r="G8" s="3">
        <v>1.418E-2</v>
      </c>
      <c r="H8" s="3">
        <v>4.8700000000000002E-3</v>
      </c>
      <c r="I8" s="3">
        <v>5.6699999999999997E-3</v>
      </c>
      <c r="J8" s="3">
        <v>0.53620000000000001</v>
      </c>
    </row>
    <row r="9" spans="1:11" ht="18">
      <c r="A9" s="3" t="s">
        <v>174</v>
      </c>
      <c r="B9" s="3">
        <v>0.98997000000000002</v>
      </c>
      <c r="C9" s="3">
        <v>0.98829999999999996</v>
      </c>
      <c r="D9" s="3">
        <v>0.99</v>
      </c>
      <c r="E9" s="3">
        <v>0.56279999999999997</v>
      </c>
      <c r="F9" s="3">
        <v>0.995</v>
      </c>
      <c r="G9" s="3">
        <v>5.0299999999999997E-3</v>
      </c>
      <c r="H9" s="3">
        <v>6.7000000000000002E-3</v>
      </c>
      <c r="I9" s="3">
        <v>5.0000000000000001E-3</v>
      </c>
      <c r="J9" s="3">
        <v>0.43219999999999997</v>
      </c>
    </row>
    <row r="10" spans="1:11" ht="18">
      <c r="A10" s="3" t="s">
        <v>175</v>
      </c>
      <c r="B10" s="3">
        <v>0.99250000000000005</v>
      </c>
      <c r="C10" s="3">
        <v>0.99073999999999995</v>
      </c>
      <c r="D10" s="3">
        <v>0.99167000000000005</v>
      </c>
      <c r="E10" s="3">
        <v>0.82220000000000004</v>
      </c>
      <c r="F10" s="3">
        <v>0.998</v>
      </c>
      <c r="G10" s="3">
        <v>5.4999999999999997E-3</v>
      </c>
      <c r="H10" s="3">
        <v>7.26E-3</v>
      </c>
      <c r="I10" s="3">
        <v>6.3299999999999997E-3</v>
      </c>
      <c r="J10" s="3">
        <v>0.17580000000000001</v>
      </c>
    </row>
    <row r="11" spans="1:11" ht="18">
      <c r="A11" s="3" t="s">
        <v>176</v>
      </c>
      <c r="B11" s="3">
        <v>0.99497000000000002</v>
      </c>
      <c r="C11" s="3">
        <v>1</v>
      </c>
      <c r="D11" s="3">
        <v>0.99922999999999995</v>
      </c>
      <c r="E11" s="3">
        <v>0.76780000000000004</v>
      </c>
      <c r="F11" s="3">
        <v>1</v>
      </c>
      <c r="G11" s="3">
        <v>5.0299999999999997E-3</v>
      </c>
      <c r="H11" s="3">
        <v>0</v>
      </c>
      <c r="I11" s="3">
        <v>7.6999999999999996E-4</v>
      </c>
      <c r="J11" s="3">
        <v>0.23219999999999999</v>
      </c>
    </row>
    <row r="12" spans="1:11" ht="18">
      <c r="A12" s="3" t="s">
        <v>177</v>
      </c>
      <c r="B12" s="3">
        <v>0.98731000000000002</v>
      </c>
      <c r="C12" s="3">
        <v>0.99363999999999997</v>
      </c>
      <c r="D12" s="3">
        <v>0.99131999999999998</v>
      </c>
      <c r="E12" s="3">
        <v>0.61019999999999996</v>
      </c>
      <c r="F12" s="3">
        <v>0.996</v>
      </c>
      <c r="G12" s="3">
        <v>8.6899999999999998E-3</v>
      </c>
      <c r="H12" s="3">
        <v>2.3600000000000001E-3</v>
      </c>
      <c r="I12" s="3">
        <v>4.6800000000000001E-3</v>
      </c>
      <c r="J12" s="3">
        <v>0.38579999999999998</v>
      </c>
    </row>
    <row r="13" spans="1:11" ht="18">
      <c r="A13" s="3" t="s">
        <v>178</v>
      </c>
      <c r="B13" s="3">
        <v>0.96643000000000001</v>
      </c>
      <c r="C13" s="3">
        <v>0.97257000000000005</v>
      </c>
      <c r="D13" s="3">
        <v>0.97484999999999999</v>
      </c>
      <c r="E13" s="3">
        <v>0.44690000000000002</v>
      </c>
      <c r="F13" s="3">
        <v>0.99399999999999999</v>
      </c>
      <c r="G13" s="3">
        <v>2.7570000000000001E-2</v>
      </c>
      <c r="H13" s="3">
        <v>2.1430000000000001E-2</v>
      </c>
      <c r="I13" s="3">
        <v>1.915E-2</v>
      </c>
      <c r="J13" s="3">
        <v>0.54710000000000003</v>
      </c>
    </row>
    <row r="14" spans="1:11" ht="18">
      <c r="A14" s="3" t="s">
        <v>179</v>
      </c>
      <c r="B14" s="3">
        <v>0.97313000000000005</v>
      </c>
      <c r="C14" s="3">
        <v>0.98594999999999999</v>
      </c>
      <c r="D14" s="3">
        <v>0.98731999999999998</v>
      </c>
      <c r="E14" s="3">
        <v>0.50939999999999996</v>
      </c>
      <c r="F14" s="3">
        <v>1</v>
      </c>
      <c r="G14" s="3">
        <v>2.6870000000000002E-2</v>
      </c>
      <c r="H14" s="3">
        <v>1.405E-2</v>
      </c>
      <c r="I14" s="3">
        <v>1.268E-2</v>
      </c>
      <c r="J14" s="3">
        <v>0.49059999999999998</v>
      </c>
    </row>
    <row r="15" spans="1:11" ht="18">
      <c r="A15" s="3" t="s">
        <v>180</v>
      </c>
      <c r="B15" s="3">
        <v>0.97062999999999999</v>
      </c>
      <c r="C15" s="3">
        <v>0.98409999999999997</v>
      </c>
      <c r="D15" s="3">
        <v>0.98750000000000004</v>
      </c>
      <c r="E15" s="3">
        <v>0.38729999999999998</v>
      </c>
      <c r="F15" s="3">
        <v>1</v>
      </c>
      <c r="G15" s="3">
        <v>2.937E-2</v>
      </c>
      <c r="H15" s="3">
        <v>1.5900000000000001E-2</v>
      </c>
      <c r="I15" s="3">
        <v>1.2500000000000001E-2</v>
      </c>
      <c r="J15" s="3">
        <v>0.61270000000000002</v>
      </c>
    </row>
    <row r="16" spans="1:11" ht="18">
      <c r="A16" s="3" t="s">
        <v>181</v>
      </c>
      <c r="B16" s="3">
        <v>0.98146</v>
      </c>
      <c r="C16" s="3">
        <v>0.98414000000000001</v>
      </c>
      <c r="D16" s="3">
        <v>0.99426000000000003</v>
      </c>
      <c r="E16" s="3">
        <v>0.58150000000000002</v>
      </c>
      <c r="F16" s="3">
        <v>0.999</v>
      </c>
      <c r="G16" s="3">
        <v>1.754E-2</v>
      </c>
      <c r="H16" s="3">
        <v>1.486E-2</v>
      </c>
      <c r="I16" s="3">
        <v>4.7400000000000003E-3</v>
      </c>
      <c r="J16" s="3">
        <v>0.41749999999999998</v>
      </c>
    </row>
    <row r="17" spans="1:10" ht="18">
      <c r="A17" s="3" t="s">
        <v>182</v>
      </c>
      <c r="B17" s="3">
        <v>0.97660999999999998</v>
      </c>
      <c r="C17" s="3">
        <v>0.98312999999999995</v>
      </c>
      <c r="D17" s="3">
        <v>0.99056999999999995</v>
      </c>
      <c r="E17" s="3">
        <v>0.4708</v>
      </c>
      <c r="F17" s="3">
        <v>0.999</v>
      </c>
      <c r="G17" s="3">
        <v>2.239E-2</v>
      </c>
      <c r="H17" s="3">
        <v>1.5869999999999999E-2</v>
      </c>
      <c r="I17" s="3">
        <v>8.43E-3</v>
      </c>
      <c r="J17" s="3">
        <v>0.5282</v>
      </c>
    </row>
    <row r="18" spans="1:10" ht="18">
      <c r="A18" s="3" t="s">
        <v>183</v>
      </c>
      <c r="B18" s="3">
        <v>0.95759000000000005</v>
      </c>
      <c r="C18" s="3">
        <v>0.96743000000000001</v>
      </c>
      <c r="D18" s="3">
        <v>0.96953</v>
      </c>
      <c r="E18" s="3">
        <v>0.40010000000000001</v>
      </c>
      <c r="F18" s="3">
        <v>0.99199999999999999</v>
      </c>
      <c r="G18" s="3">
        <v>3.4410000000000003E-2</v>
      </c>
      <c r="H18" s="3">
        <v>2.4570000000000002E-2</v>
      </c>
      <c r="I18" s="3">
        <v>2.247E-2</v>
      </c>
      <c r="J18" s="3">
        <v>0.59189999999999998</v>
      </c>
    </row>
    <row r="19" spans="1:10" ht="18">
      <c r="A19" s="3" t="s">
        <v>184</v>
      </c>
      <c r="B19" s="3">
        <v>0.99280000000000002</v>
      </c>
      <c r="C19" s="3">
        <v>0.97706999999999999</v>
      </c>
      <c r="D19" s="3">
        <v>0.98338000000000003</v>
      </c>
      <c r="E19" s="3">
        <v>0.51490000000000002</v>
      </c>
      <c r="F19" s="3">
        <v>0.998</v>
      </c>
      <c r="G19" s="3">
        <v>5.1999999999999998E-3</v>
      </c>
      <c r="H19" s="3">
        <v>2.0930000000000001E-2</v>
      </c>
      <c r="I19" s="3">
        <v>1.4619999999999999E-2</v>
      </c>
      <c r="J19" s="3">
        <v>0.48309999999999997</v>
      </c>
    </row>
    <row r="20" spans="1:10" ht="18">
      <c r="A20" s="3" t="s">
        <v>185</v>
      </c>
      <c r="B20" s="3">
        <v>0.98551999999999995</v>
      </c>
      <c r="C20" s="3">
        <v>0.96825000000000006</v>
      </c>
      <c r="D20" s="3">
        <v>0.99258000000000002</v>
      </c>
      <c r="E20" s="3">
        <v>0.629</v>
      </c>
      <c r="F20" s="3">
        <v>1</v>
      </c>
      <c r="G20" s="3">
        <v>1.448E-2</v>
      </c>
      <c r="H20" s="3">
        <v>3.175E-2</v>
      </c>
      <c r="I20" s="3">
        <v>7.4200000000000004E-3</v>
      </c>
      <c r="J20" s="3">
        <v>0.371</v>
      </c>
    </row>
    <row r="21" spans="1:10" ht="18">
      <c r="A21" s="3" t="s">
        <v>186</v>
      </c>
      <c r="B21" s="3">
        <v>0.97733000000000003</v>
      </c>
      <c r="C21" s="3">
        <v>0.98568</v>
      </c>
      <c r="D21" s="3">
        <v>0.98811000000000004</v>
      </c>
      <c r="E21" s="3">
        <v>0.47899999999999998</v>
      </c>
      <c r="F21" s="3">
        <v>0.999</v>
      </c>
      <c r="G21" s="3">
        <v>2.1669999999999998E-2</v>
      </c>
      <c r="H21" s="3">
        <v>1.332E-2</v>
      </c>
      <c r="I21" s="3">
        <v>1.089E-2</v>
      </c>
      <c r="J21" s="3">
        <v>0.52</v>
      </c>
    </row>
    <row r="22" spans="1:10" ht="18">
      <c r="A22" s="3" t="s">
        <v>187</v>
      </c>
      <c r="B22" s="3">
        <v>0.97360000000000002</v>
      </c>
      <c r="C22" s="3">
        <v>0.97141999999999995</v>
      </c>
      <c r="D22" s="3">
        <v>0.97011999999999998</v>
      </c>
      <c r="E22" s="3">
        <v>0.43109999999999998</v>
      </c>
      <c r="F22" s="3">
        <v>0.997</v>
      </c>
      <c r="G22" s="3">
        <v>2.3400000000000001E-2</v>
      </c>
      <c r="H22" s="3">
        <v>2.5579999999999999E-2</v>
      </c>
      <c r="I22" s="3">
        <v>2.6880000000000001E-2</v>
      </c>
      <c r="J22" s="3">
        <v>0.56589999999999996</v>
      </c>
    </row>
    <row r="23" spans="1:10" ht="18">
      <c r="A23" s="3" t="s">
        <v>188</v>
      </c>
      <c r="B23" s="3">
        <v>0.96808000000000005</v>
      </c>
      <c r="C23" s="3">
        <v>0.98675000000000002</v>
      </c>
      <c r="D23" s="3">
        <v>0.99073</v>
      </c>
      <c r="E23" s="3">
        <v>0.59560000000000002</v>
      </c>
      <c r="F23" s="3">
        <v>1</v>
      </c>
      <c r="G23" s="3">
        <v>3.1919999999999997E-2</v>
      </c>
      <c r="H23" s="3">
        <v>1.325E-2</v>
      </c>
      <c r="I23" s="3">
        <v>9.2700000000000005E-3</v>
      </c>
      <c r="J23" s="3">
        <v>0.40439999999999998</v>
      </c>
    </row>
    <row r="24" spans="1:10" ht="18">
      <c r="A24" s="3" t="s">
        <v>189</v>
      </c>
      <c r="B24" s="3">
        <v>0.97252000000000005</v>
      </c>
      <c r="C24" s="3">
        <v>0.99238999999999999</v>
      </c>
      <c r="D24" s="3">
        <v>0.99567000000000005</v>
      </c>
      <c r="E24" s="3">
        <v>0.64790000000000003</v>
      </c>
      <c r="F24" s="3">
        <v>1</v>
      </c>
      <c r="G24" s="3">
        <v>2.7480000000000001E-2</v>
      </c>
      <c r="H24" s="3">
        <v>7.6099999999999996E-3</v>
      </c>
      <c r="I24" s="3">
        <v>4.3299999999999996E-3</v>
      </c>
      <c r="J24" s="3">
        <v>0.35210000000000002</v>
      </c>
    </row>
    <row r="25" spans="1:10" ht="18">
      <c r="A25" s="3" t="s">
        <v>190</v>
      </c>
      <c r="B25" s="3">
        <v>0.97768999999999995</v>
      </c>
      <c r="C25" s="3">
        <v>0.98929999999999996</v>
      </c>
      <c r="D25" s="3">
        <v>0.99482000000000004</v>
      </c>
      <c r="E25" s="3">
        <v>0.72940000000000005</v>
      </c>
      <c r="F25" s="3">
        <v>1</v>
      </c>
      <c r="G25" s="3">
        <v>2.231E-2</v>
      </c>
      <c r="H25" s="3">
        <v>1.0699999999999999E-2</v>
      </c>
      <c r="I25" s="3">
        <v>5.1799999999999997E-3</v>
      </c>
      <c r="J25" s="3">
        <v>0.27060000000000001</v>
      </c>
    </row>
    <row r="26" spans="1:10" ht="18">
      <c r="A26" s="3" t="s">
        <v>191</v>
      </c>
      <c r="B26" s="3">
        <v>0.97765999999999997</v>
      </c>
      <c r="C26" s="3">
        <v>0.98592999999999997</v>
      </c>
      <c r="D26" s="3">
        <v>0.99407000000000001</v>
      </c>
      <c r="E26" s="3">
        <v>0.50449999999999995</v>
      </c>
      <c r="F26" s="3">
        <v>1</v>
      </c>
      <c r="G26" s="3">
        <v>2.2339999999999999E-2</v>
      </c>
      <c r="H26" s="3">
        <v>1.4069999999999999E-2</v>
      </c>
      <c r="I26" s="3">
        <v>5.9300000000000004E-3</v>
      </c>
      <c r="J26" s="3">
        <v>0.4955</v>
      </c>
    </row>
    <row r="27" spans="1:10" ht="18">
      <c r="A27" s="3" t="s">
        <v>192</v>
      </c>
      <c r="B27" s="3">
        <v>0.97135000000000005</v>
      </c>
      <c r="C27" s="3">
        <v>0.97577000000000003</v>
      </c>
      <c r="D27" s="3">
        <v>0.98414000000000001</v>
      </c>
      <c r="E27" s="3">
        <v>0.41270000000000001</v>
      </c>
      <c r="F27" s="3">
        <v>0.998</v>
      </c>
      <c r="G27" s="3">
        <v>2.665E-2</v>
      </c>
      <c r="H27" s="3">
        <v>2.223E-2</v>
      </c>
      <c r="I27" s="3">
        <v>1.3860000000000001E-2</v>
      </c>
      <c r="J27" s="3">
        <v>0.58530000000000004</v>
      </c>
    </row>
    <row r="28" spans="1:10" ht="18">
      <c r="A28" s="3" t="s">
        <v>193</v>
      </c>
      <c r="B28" s="3">
        <v>0.98611000000000004</v>
      </c>
      <c r="C28" s="3">
        <v>0.97677999999999998</v>
      </c>
      <c r="D28" s="3">
        <v>0.97840000000000005</v>
      </c>
      <c r="E28" s="3">
        <v>0.75460000000000005</v>
      </c>
      <c r="F28" s="3">
        <v>0.995</v>
      </c>
      <c r="G28" s="3">
        <v>8.8900000000000003E-3</v>
      </c>
      <c r="H28" s="3">
        <v>1.822E-2</v>
      </c>
      <c r="I28" s="3">
        <v>1.66E-2</v>
      </c>
      <c r="J28" s="3">
        <v>0.2404</v>
      </c>
    </row>
    <row r="29" spans="1:10" ht="18">
      <c r="A29" s="3" t="s">
        <v>194</v>
      </c>
      <c r="B29" s="3">
        <v>0.94855999999999996</v>
      </c>
      <c r="C29" s="3">
        <v>0.96060999999999996</v>
      </c>
      <c r="D29" s="3">
        <v>0.97158999999999995</v>
      </c>
      <c r="E29" s="3">
        <v>0.7036</v>
      </c>
      <c r="F29" s="3">
        <v>0.996</v>
      </c>
      <c r="G29" s="3">
        <v>4.7440000000000003E-2</v>
      </c>
      <c r="H29" s="3">
        <v>3.5389999999999998E-2</v>
      </c>
      <c r="I29" s="3">
        <v>2.4410000000000001E-2</v>
      </c>
      <c r="J29" s="3">
        <v>0.29239999999999999</v>
      </c>
    </row>
    <row r="30" spans="1:10" ht="18">
      <c r="A30" s="3" t="s">
        <v>195</v>
      </c>
      <c r="B30" s="3">
        <v>0.98558000000000001</v>
      </c>
      <c r="C30" s="3">
        <v>0.98524999999999996</v>
      </c>
      <c r="D30" s="3">
        <v>0.98184000000000005</v>
      </c>
      <c r="E30" s="3">
        <v>0.65310000000000001</v>
      </c>
      <c r="F30" s="3">
        <v>0.997</v>
      </c>
      <c r="G30" s="3">
        <v>1.142E-2</v>
      </c>
      <c r="H30" s="3">
        <v>1.175E-2</v>
      </c>
      <c r="I30" s="3">
        <v>1.516E-2</v>
      </c>
      <c r="J30" s="3">
        <v>0.34389999999999998</v>
      </c>
    </row>
    <row r="31" spans="1:10" ht="18">
      <c r="A31" s="3" t="s">
        <v>196</v>
      </c>
      <c r="B31" s="3">
        <v>0.96716999999999997</v>
      </c>
      <c r="C31" s="3">
        <v>0.97592999999999996</v>
      </c>
      <c r="D31" s="3">
        <v>0.97633999999999999</v>
      </c>
      <c r="E31" s="3">
        <v>0.55049999999999999</v>
      </c>
      <c r="F31" s="3">
        <v>0.99199999999999999</v>
      </c>
      <c r="G31" s="3">
        <v>2.4830000000000001E-2</v>
      </c>
      <c r="H31" s="3">
        <v>1.6070000000000001E-2</v>
      </c>
      <c r="I31" s="3">
        <v>1.566E-2</v>
      </c>
      <c r="J31" s="3">
        <v>0.4415</v>
      </c>
    </row>
    <row r="32" spans="1:10" ht="18">
      <c r="A32" s="3" t="s">
        <v>197</v>
      </c>
      <c r="B32" s="3">
        <v>0.95389999999999997</v>
      </c>
      <c r="C32" s="3">
        <v>0.97782999999999998</v>
      </c>
      <c r="D32" s="3">
        <v>0.97948000000000002</v>
      </c>
      <c r="E32" s="3">
        <v>0.56989999999999996</v>
      </c>
      <c r="F32" s="3">
        <v>0.97899999999999998</v>
      </c>
      <c r="G32" s="3">
        <v>2.5100000000000001E-2</v>
      </c>
      <c r="H32" s="3">
        <v>1.17E-3</v>
      </c>
      <c r="I32" s="3">
        <v>-4.8000000000000001E-4</v>
      </c>
      <c r="J32" s="3">
        <v>0.40910000000000002</v>
      </c>
    </row>
    <row r="33" spans="1:10" ht="18">
      <c r="A33" s="3" t="s">
        <v>198</v>
      </c>
      <c r="B33" s="3">
        <v>0.97846999999999995</v>
      </c>
      <c r="C33" s="3">
        <v>0.99212999999999996</v>
      </c>
      <c r="D33" s="3">
        <v>0.99121000000000004</v>
      </c>
      <c r="E33" s="3">
        <v>0.72340000000000004</v>
      </c>
      <c r="F33" s="3">
        <v>0.998</v>
      </c>
      <c r="G33" s="3">
        <v>1.9529999999999999E-2</v>
      </c>
      <c r="H33" s="3">
        <v>5.8700000000000002E-3</v>
      </c>
      <c r="I33" s="3">
        <v>6.79E-3</v>
      </c>
      <c r="J33" s="3">
        <v>0.27460000000000001</v>
      </c>
    </row>
    <row r="34" spans="1:10" ht="18">
      <c r="A34" s="3" t="s">
        <v>199</v>
      </c>
      <c r="B34" s="3">
        <v>0.89963000000000004</v>
      </c>
      <c r="C34" s="3">
        <v>0.93867</v>
      </c>
      <c r="D34" s="3">
        <v>0.59552000000000005</v>
      </c>
      <c r="E34" s="3">
        <v>0.35909999999999997</v>
      </c>
      <c r="F34" s="3">
        <v>0.99199999999999999</v>
      </c>
      <c r="G34" s="3">
        <v>9.2369999999999994E-2</v>
      </c>
      <c r="H34" s="3">
        <v>5.3330000000000002E-2</v>
      </c>
      <c r="I34" s="3">
        <v>0.39648</v>
      </c>
      <c r="J34" s="3">
        <v>0.63290000000000002</v>
      </c>
    </row>
    <row r="35" spans="1:10" ht="18">
      <c r="A35" s="3" t="s">
        <v>200</v>
      </c>
      <c r="B35" s="3">
        <v>0.94932000000000005</v>
      </c>
      <c r="C35" s="3">
        <v>0.9556</v>
      </c>
      <c r="D35" s="3">
        <v>0.95228999999999997</v>
      </c>
      <c r="E35" s="3">
        <v>0.33339999999999997</v>
      </c>
      <c r="F35" s="3">
        <v>0.997</v>
      </c>
      <c r="G35" s="3">
        <v>4.768E-2</v>
      </c>
      <c r="H35" s="3">
        <v>4.1399999999999999E-2</v>
      </c>
      <c r="I35" s="3">
        <v>4.471E-2</v>
      </c>
      <c r="J35" s="3">
        <v>0.66359999999999997</v>
      </c>
    </row>
    <row r="36" spans="1:10" ht="18">
      <c r="A36" s="12" t="s">
        <v>201</v>
      </c>
      <c r="B36" s="3">
        <v>0.92225000000000001</v>
      </c>
      <c r="C36" s="3">
        <v>0.95264000000000004</v>
      </c>
      <c r="D36" s="3">
        <v>0.97155000000000002</v>
      </c>
      <c r="E36" s="3">
        <v>0.40089999999999998</v>
      </c>
      <c r="F36" s="3">
        <v>1</v>
      </c>
      <c r="G36" s="3">
        <v>7.775E-2</v>
      </c>
      <c r="H36" s="3">
        <v>4.7359999999999999E-2</v>
      </c>
      <c r="I36" s="3">
        <v>2.845E-2</v>
      </c>
      <c r="J36" s="3">
        <v>0.59909999999999997</v>
      </c>
    </row>
    <row r="37" spans="1:10" ht="18">
      <c r="A37" s="12" t="s">
        <v>202</v>
      </c>
      <c r="B37" s="3">
        <v>0.94774000000000003</v>
      </c>
      <c r="C37" s="3">
        <v>0.94501999999999997</v>
      </c>
      <c r="D37" s="3">
        <v>0.95145000000000002</v>
      </c>
      <c r="E37" s="3">
        <v>0.4491</v>
      </c>
      <c r="F37" s="3">
        <v>0.99</v>
      </c>
      <c r="G37" s="3">
        <v>4.2259999999999999E-2</v>
      </c>
      <c r="H37" s="3">
        <v>4.4979999999999999E-2</v>
      </c>
      <c r="I37" s="3">
        <v>3.8550000000000001E-2</v>
      </c>
      <c r="J37" s="3">
        <v>0.54090000000000005</v>
      </c>
    </row>
    <row r="38" spans="1:10" ht="18">
      <c r="A38" s="3" t="s">
        <v>203</v>
      </c>
      <c r="B38" s="3">
        <v>0.99094000000000004</v>
      </c>
      <c r="C38" s="3">
        <v>0.99490000000000001</v>
      </c>
      <c r="D38" s="3">
        <v>0.99672000000000005</v>
      </c>
      <c r="E38" s="3">
        <v>0.49819999999999998</v>
      </c>
      <c r="F38" s="3">
        <v>0.998</v>
      </c>
      <c r="G38" s="3">
        <v>7.0600000000000003E-3</v>
      </c>
      <c r="H38" s="3">
        <v>3.0999999999999999E-3</v>
      </c>
      <c r="I38" s="3">
        <v>1.2800000000000001E-3</v>
      </c>
      <c r="J38" s="3">
        <v>0.49980000000000002</v>
      </c>
    </row>
    <row r="39" spans="1:10" ht="18">
      <c r="A39" s="3" t="s">
        <v>204</v>
      </c>
      <c r="B39" s="3">
        <v>0.94338</v>
      </c>
      <c r="C39" s="3">
        <v>0.96296999999999999</v>
      </c>
      <c r="D39" s="3">
        <v>0.94982</v>
      </c>
      <c r="E39" s="3">
        <v>0.4924</v>
      </c>
      <c r="F39" s="3">
        <v>0.99399999999999999</v>
      </c>
      <c r="G39" s="3">
        <v>5.0619999999999998E-2</v>
      </c>
      <c r="H39" s="3">
        <v>3.1029999999999999E-2</v>
      </c>
      <c r="I39" s="3">
        <v>4.4179999999999997E-2</v>
      </c>
      <c r="J39" s="3">
        <v>0.50160000000000005</v>
      </c>
    </row>
    <row r="40" spans="1:10" ht="18">
      <c r="A40" s="3" t="s">
        <v>205</v>
      </c>
      <c r="B40" s="3">
        <v>0.94272</v>
      </c>
      <c r="C40" s="3">
        <v>0.95679999999999998</v>
      </c>
      <c r="D40" s="3">
        <v>0.95562000000000002</v>
      </c>
      <c r="E40" s="3">
        <v>0.59370000000000001</v>
      </c>
      <c r="F40" s="3">
        <v>0.99099999999999999</v>
      </c>
      <c r="G40" s="3">
        <v>4.8280000000000003E-2</v>
      </c>
      <c r="H40" s="3">
        <v>3.4200000000000001E-2</v>
      </c>
      <c r="I40" s="3">
        <v>3.5380000000000002E-2</v>
      </c>
      <c r="J40" s="3">
        <v>0.39729999999999999</v>
      </c>
    </row>
    <row r="41" spans="1:10" ht="18">
      <c r="A41" s="3" t="s">
        <v>206</v>
      </c>
      <c r="B41" s="3">
        <v>0.98085999999999995</v>
      </c>
      <c r="C41" s="3">
        <v>0.97775000000000001</v>
      </c>
      <c r="D41" s="3">
        <v>0.98997999999999997</v>
      </c>
      <c r="E41" s="3">
        <v>0.47689999999999999</v>
      </c>
      <c r="F41" s="3">
        <v>0.999</v>
      </c>
      <c r="G41" s="3">
        <v>1.814E-2</v>
      </c>
      <c r="H41" s="3">
        <v>2.1250000000000002E-2</v>
      </c>
      <c r="I41" s="3">
        <v>9.0200000000000002E-3</v>
      </c>
      <c r="J41" s="3">
        <v>0.52210000000000001</v>
      </c>
    </row>
    <row r="42" spans="1:10" ht="18">
      <c r="A42" s="3" t="s">
        <v>207</v>
      </c>
      <c r="B42" s="3">
        <v>0.86129</v>
      </c>
      <c r="C42" s="3">
        <v>0.87109000000000003</v>
      </c>
      <c r="D42" s="3">
        <v>0.89590999999999998</v>
      </c>
      <c r="E42" s="3">
        <v>0.53949999999999998</v>
      </c>
      <c r="F42" s="3">
        <v>1</v>
      </c>
      <c r="G42" s="3">
        <v>0.13871</v>
      </c>
      <c r="H42" s="3">
        <v>0.12891</v>
      </c>
      <c r="I42" s="3">
        <v>0.10409</v>
      </c>
      <c r="J42" s="3">
        <v>0.46050000000000002</v>
      </c>
    </row>
    <row r="43" spans="1:10" ht="18">
      <c r="A43" s="12" t="s">
        <v>208</v>
      </c>
      <c r="B43" s="3">
        <v>0.93761000000000005</v>
      </c>
      <c r="C43" s="3">
        <v>0.87356</v>
      </c>
      <c r="D43" s="3">
        <v>0.77068000000000003</v>
      </c>
      <c r="E43" s="3">
        <v>0.76539999999999997</v>
      </c>
      <c r="F43" s="3">
        <v>1</v>
      </c>
      <c r="G43" s="3">
        <v>6.2390000000000001E-2</v>
      </c>
      <c r="H43" s="3">
        <v>0.12644</v>
      </c>
      <c r="I43" s="3">
        <v>0.22932</v>
      </c>
      <c r="J43" s="3">
        <v>0.2346</v>
      </c>
    </row>
    <row r="44" spans="1:10" ht="18">
      <c r="A44" s="3" t="s">
        <v>68</v>
      </c>
      <c r="B44" s="3">
        <v>0.99314999999999998</v>
      </c>
      <c r="C44" s="3">
        <v>0.99063999999999997</v>
      </c>
      <c r="D44" s="3">
        <v>0.99000999999999995</v>
      </c>
      <c r="E44" s="3">
        <v>0.42009999999999997</v>
      </c>
      <c r="F44" s="3">
        <v>0.999</v>
      </c>
      <c r="G44" s="3">
        <v>5.8500000000000002E-3</v>
      </c>
      <c r="H44" s="3">
        <v>8.3599999999999994E-3</v>
      </c>
      <c r="I44" s="3">
        <v>8.9899999999999997E-3</v>
      </c>
      <c r="J44" s="3">
        <v>0.57889999999999997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354B6-6F2F-3C4C-8C8D-17EFAF5CC30C}">
  <dimension ref="A1:K44"/>
  <sheetViews>
    <sheetView workbookViewId="0"/>
  </sheetViews>
  <sheetFormatPr baseColWidth="10" defaultRowHeight="18"/>
  <cols>
    <col min="1" max="1" width="18.83203125" customWidth="1"/>
    <col min="2" max="6" width="13.83203125" style="3" customWidth="1"/>
    <col min="7" max="10" width="30" style="3" customWidth="1"/>
    <col min="11" max="11" width="10.83203125" style="3"/>
  </cols>
  <sheetData>
    <row r="1" spans="1:11" ht="58" customHeight="1">
      <c r="A1" s="2" t="s">
        <v>231</v>
      </c>
    </row>
    <row r="2" spans="1:11" ht="25" customHeight="1">
      <c r="A2" s="6" t="s">
        <v>222</v>
      </c>
      <c r="B2" s="6" t="s">
        <v>223</v>
      </c>
      <c r="C2" s="6" t="s">
        <v>224</v>
      </c>
      <c r="D2" s="6" t="s">
        <v>225</v>
      </c>
      <c r="E2" s="6" t="s">
        <v>226</v>
      </c>
      <c r="F2" s="6" t="s">
        <v>217</v>
      </c>
      <c r="G2" s="6" t="s">
        <v>227</v>
      </c>
      <c r="H2" s="6" t="s">
        <v>228</v>
      </c>
      <c r="I2" s="6" t="s">
        <v>229</v>
      </c>
      <c r="J2" s="6" t="s">
        <v>230</v>
      </c>
      <c r="K2" s="12"/>
    </row>
    <row r="3" spans="1:11">
      <c r="A3" s="3" t="s">
        <v>168</v>
      </c>
      <c r="B3" s="3">
        <v>0.83979000000000004</v>
      </c>
      <c r="C3" s="3">
        <v>0.82020000000000004</v>
      </c>
      <c r="D3" s="3">
        <v>0.83520000000000005</v>
      </c>
      <c r="E3" s="3">
        <v>0.80023</v>
      </c>
      <c r="F3" s="3">
        <v>0.97699999999999998</v>
      </c>
      <c r="G3" s="3">
        <v>0.13721</v>
      </c>
      <c r="H3" s="3">
        <v>0.15679999999999999</v>
      </c>
      <c r="I3" s="3">
        <v>0.14180000000000001</v>
      </c>
      <c r="J3" s="3">
        <v>0.17677000000000001</v>
      </c>
      <c r="K3" s="12"/>
    </row>
    <row r="4" spans="1:11">
      <c r="A4" s="3" t="s">
        <v>169</v>
      </c>
      <c r="B4" s="3">
        <v>0.97287999999999997</v>
      </c>
      <c r="C4" s="3">
        <v>0.95369999999999999</v>
      </c>
      <c r="D4" s="3">
        <v>0.95650000000000002</v>
      </c>
      <c r="E4" s="3">
        <v>0.75561</v>
      </c>
      <c r="F4" s="3">
        <v>0.999</v>
      </c>
      <c r="G4" s="3">
        <v>2.6120000000000001E-2</v>
      </c>
      <c r="H4" s="3">
        <v>4.53E-2</v>
      </c>
      <c r="I4" s="3">
        <v>4.2500000000000003E-2</v>
      </c>
      <c r="J4" s="3">
        <v>0.24339</v>
      </c>
      <c r="K4" s="12"/>
    </row>
    <row r="5" spans="1:11">
      <c r="A5" s="3" t="s">
        <v>170</v>
      </c>
      <c r="B5" s="3">
        <v>0.83150000000000002</v>
      </c>
      <c r="C5" s="3">
        <v>0.79520000000000002</v>
      </c>
      <c r="D5" s="3">
        <v>0.95699999999999996</v>
      </c>
      <c r="E5" s="3">
        <v>0.82106000000000001</v>
      </c>
      <c r="F5" s="3">
        <v>0.995</v>
      </c>
      <c r="G5" s="3">
        <v>0.16350000000000001</v>
      </c>
      <c r="H5" s="3">
        <v>0.19980000000000001</v>
      </c>
      <c r="I5" s="3">
        <v>3.7999999999999999E-2</v>
      </c>
      <c r="J5" s="3">
        <v>0.17394000000000001</v>
      </c>
      <c r="K5" s="12"/>
    </row>
    <row r="6" spans="1:11">
      <c r="A6" s="3" t="s">
        <v>171</v>
      </c>
      <c r="B6" s="3">
        <v>0.99082999999999999</v>
      </c>
      <c r="C6" s="3">
        <v>0.94579999999999997</v>
      </c>
      <c r="D6" s="3">
        <v>0.97070000000000001</v>
      </c>
      <c r="E6" s="3">
        <v>0.50368000000000002</v>
      </c>
      <c r="F6" s="3">
        <v>0.999</v>
      </c>
      <c r="G6" s="3">
        <v>8.1700000000000002E-3</v>
      </c>
      <c r="H6" s="3">
        <v>5.3199999999999997E-2</v>
      </c>
      <c r="I6" s="3">
        <v>2.8299999999999999E-2</v>
      </c>
      <c r="J6" s="3">
        <v>0.49531999999999998</v>
      </c>
      <c r="K6" s="12"/>
    </row>
    <row r="7" spans="1:11">
      <c r="A7" s="3" t="s">
        <v>172</v>
      </c>
      <c r="B7" s="3">
        <v>0.99185000000000001</v>
      </c>
      <c r="C7" s="3">
        <v>0.88219999999999998</v>
      </c>
      <c r="D7" s="3">
        <v>0.9718</v>
      </c>
      <c r="E7" s="3">
        <v>0.91851000000000005</v>
      </c>
      <c r="F7" s="3">
        <v>0.999</v>
      </c>
      <c r="G7" s="3">
        <v>7.1500000000000001E-3</v>
      </c>
      <c r="H7" s="3">
        <v>0.1168</v>
      </c>
      <c r="I7" s="3">
        <v>2.7199999999999998E-2</v>
      </c>
      <c r="J7" s="3">
        <v>8.0490000000000006E-2</v>
      </c>
      <c r="K7" s="12"/>
    </row>
    <row r="8" spans="1:11">
      <c r="A8" s="3" t="s">
        <v>173</v>
      </c>
      <c r="B8" s="3">
        <v>0.99077000000000004</v>
      </c>
      <c r="C8" s="3">
        <v>0.92889999999999995</v>
      </c>
      <c r="D8" s="3">
        <v>0.94740000000000002</v>
      </c>
      <c r="E8" s="3">
        <v>0.74994000000000005</v>
      </c>
      <c r="F8" s="3">
        <v>0.998</v>
      </c>
      <c r="G8" s="3">
        <v>7.2300000000000003E-3</v>
      </c>
      <c r="H8" s="3">
        <v>6.9099999999999995E-2</v>
      </c>
      <c r="I8" s="3">
        <v>5.0599999999999999E-2</v>
      </c>
      <c r="J8" s="3">
        <v>0.24806</v>
      </c>
      <c r="K8" s="12"/>
    </row>
    <row r="9" spans="1:11">
      <c r="A9" s="3" t="s">
        <v>174</v>
      </c>
      <c r="B9" s="3">
        <v>0.98777999999999999</v>
      </c>
      <c r="C9" s="3">
        <v>0.78849999999999998</v>
      </c>
      <c r="D9" s="3">
        <v>0.96479999999999999</v>
      </c>
      <c r="E9" s="3">
        <v>0.13536999999999999</v>
      </c>
      <c r="F9" s="3">
        <v>0.995</v>
      </c>
      <c r="G9" s="3">
        <v>7.2199999999999999E-3</v>
      </c>
      <c r="H9" s="3">
        <v>0.20649999999999999</v>
      </c>
      <c r="I9" s="3">
        <v>3.0200000000000001E-2</v>
      </c>
      <c r="J9" s="3">
        <v>0.85963000000000001</v>
      </c>
      <c r="K9" s="12"/>
    </row>
    <row r="10" spans="1:11">
      <c r="A10" s="3" t="s">
        <v>175</v>
      </c>
      <c r="B10" s="3">
        <v>0.98934</v>
      </c>
      <c r="C10" s="3">
        <v>0.8952</v>
      </c>
      <c r="D10" s="3">
        <v>0.98740000000000006</v>
      </c>
      <c r="E10" s="3">
        <v>0.74045000000000005</v>
      </c>
      <c r="F10" s="3">
        <v>0.998</v>
      </c>
      <c r="G10" s="3">
        <v>8.6599999999999993E-3</v>
      </c>
      <c r="H10" s="3">
        <v>0.1028</v>
      </c>
      <c r="I10" s="3">
        <v>1.06E-2</v>
      </c>
      <c r="J10" s="3">
        <v>0.25755</v>
      </c>
      <c r="K10" s="12"/>
    </row>
    <row r="11" spans="1:11">
      <c r="A11" s="3" t="s">
        <v>176</v>
      </c>
      <c r="B11" s="3">
        <v>0.99843999999999999</v>
      </c>
      <c r="C11" s="3">
        <v>0.98960000000000004</v>
      </c>
      <c r="D11" s="3">
        <v>0.99870000000000003</v>
      </c>
      <c r="E11" s="3">
        <v>0.97431999999999996</v>
      </c>
      <c r="F11" s="3">
        <v>1</v>
      </c>
      <c r="G11" s="3">
        <v>1.56E-3</v>
      </c>
      <c r="H11" s="3">
        <v>1.04E-2</v>
      </c>
      <c r="I11" s="3">
        <v>1.2999999999999999E-3</v>
      </c>
      <c r="J11" s="3">
        <v>2.5680000000000001E-2</v>
      </c>
      <c r="K11" s="12"/>
    </row>
    <row r="12" spans="1:11">
      <c r="A12" s="3" t="s">
        <v>177</v>
      </c>
      <c r="B12" s="3">
        <v>0.98709999999999998</v>
      </c>
      <c r="C12" s="3">
        <v>0.97440000000000004</v>
      </c>
      <c r="D12" s="3">
        <v>0.98740000000000006</v>
      </c>
      <c r="E12" s="3">
        <v>0.94088000000000005</v>
      </c>
      <c r="F12" s="3">
        <v>0.996</v>
      </c>
      <c r="G12" s="3">
        <v>8.8999999999999999E-3</v>
      </c>
      <c r="H12" s="3">
        <v>2.1600000000000001E-2</v>
      </c>
      <c r="I12" s="3">
        <v>8.6E-3</v>
      </c>
      <c r="J12" s="3">
        <v>5.5120000000000002E-2</v>
      </c>
      <c r="K12" s="12"/>
    </row>
    <row r="13" spans="1:11">
      <c r="A13" s="3" t="s">
        <v>178</v>
      </c>
      <c r="B13" s="3">
        <v>0.97</v>
      </c>
      <c r="C13" s="3">
        <v>0.78110000000000002</v>
      </c>
      <c r="D13" s="3">
        <v>0.88670000000000004</v>
      </c>
      <c r="E13" s="3">
        <v>0.23325000000000001</v>
      </c>
      <c r="F13" s="3">
        <v>0.99399999999999999</v>
      </c>
      <c r="G13" s="3">
        <v>2.4E-2</v>
      </c>
      <c r="H13" s="3">
        <v>0.21290000000000001</v>
      </c>
      <c r="I13" s="3">
        <v>0.10730000000000001</v>
      </c>
      <c r="J13" s="3">
        <v>0.76075000000000004</v>
      </c>
      <c r="K13" s="12"/>
    </row>
    <row r="14" spans="1:11">
      <c r="A14" s="3" t="s">
        <v>179</v>
      </c>
      <c r="B14" s="3">
        <v>0.97665999999999997</v>
      </c>
      <c r="C14" s="3">
        <v>0.92649999999999999</v>
      </c>
      <c r="D14" s="3">
        <v>0.98809999999999998</v>
      </c>
      <c r="E14" s="3">
        <v>0.89673999999999998</v>
      </c>
      <c r="F14" s="3">
        <v>1</v>
      </c>
      <c r="G14" s="3">
        <v>2.334E-2</v>
      </c>
      <c r="H14" s="3">
        <v>7.3499999999999996E-2</v>
      </c>
      <c r="I14" s="3">
        <v>1.1900000000000001E-2</v>
      </c>
      <c r="J14" s="3">
        <v>0.10326</v>
      </c>
      <c r="K14" s="12"/>
    </row>
    <row r="15" spans="1:11">
      <c r="A15" s="3" t="s">
        <v>180</v>
      </c>
      <c r="B15" s="3">
        <v>0.97840000000000005</v>
      </c>
      <c r="C15" s="3">
        <v>0.92989999999999995</v>
      </c>
      <c r="D15" s="3">
        <v>0.97970000000000002</v>
      </c>
      <c r="E15" s="3">
        <v>0.90288999999999997</v>
      </c>
      <c r="F15" s="3">
        <v>1</v>
      </c>
      <c r="G15" s="3">
        <v>2.1600000000000001E-2</v>
      </c>
      <c r="H15" s="3">
        <v>7.0099999999999996E-2</v>
      </c>
      <c r="I15" s="3">
        <v>2.0299999999999999E-2</v>
      </c>
      <c r="J15" s="3">
        <v>9.7110000000000002E-2</v>
      </c>
      <c r="K15" s="12"/>
    </row>
    <row r="16" spans="1:11">
      <c r="A16" s="3" t="s">
        <v>181</v>
      </c>
      <c r="B16" s="3">
        <v>0.98253000000000001</v>
      </c>
      <c r="C16" s="3">
        <v>0.89449999999999996</v>
      </c>
      <c r="D16" s="3">
        <v>0.99080000000000001</v>
      </c>
      <c r="E16" s="3">
        <v>0.85496000000000005</v>
      </c>
      <c r="F16" s="3">
        <v>0.999</v>
      </c>
      <c r="G16" s="3">
        <v>1.6469999999999999E-2</v>
      </c>
      <c r="H16" s="3">
        <v>0.1045</v>
      </c>
      <c r="I16" s="3">
        <v>8.2000000000000007E-3</v>
      </c>
      <c r="J16" s="3">
        <v>0.14404</v>
      </c>
      <c r="K16" s="12"/>
    </row>
    <row r="17" spans="1:11">
      <c r="A17" s="3" t="s">
        <v>182</v>
      </c>
      <c r="B17" s="3">
        <v>0.97755999999999998</v>
      </c>
      <c r="C17" s="3">
        <v>0.91010000000000002</v>
      </c>
      <c r="D17" s="3">
        <v>0.98970000000000002</v>
      </c>
      <c r="E17" s="3">
        <v>0.81452000000000002</v>
      </c>
      <c r="F17" s="3">
        <v>0.999</v>
      </c>
      <c r="G17" s="3">
        <v>2.1440000000000001E-2</v>
      </c>
      <c r="H17" s="3">
        <v>8.8900000000000007E-2</v>
      </c>
      <c r="I17" s="3">
        <v>9.2999999999999992E-3</v>
      </c>
      <c r="J17" s="3">
        <v>0.18448000000000001</v>
      </c>
      <c r="K17" s="12"/>
    </row>
    <row r="18" spans="1:11">
      <c r="A18" s="3" t="s">
        <v>183</v>
      </c>
      <c r="B18" s="3">
        <v>0.96228000000000002</v>
      </c>
      <c r="C18" s="3">
        <v>0.81830000000000003</v>
      </c>
      <c r="D18" s="3">
        <v>0.92579999999999996</v>
      </c>
      <c r="E18" s="3">
        <v>0.15371000000000001</v>
      </c>
      <c r="F18" s="3">
        <v>0.99199999999999999</v>
      </c>
      <c r="G18" s="3">
        <v>2.972E-2</v>
      </c>
      <c r="H18" s="3">
        <v>0.17369999999999999</v>
      </c>
      <c r="I18" s="3">
        <v>6.6199999999999995E-2</v>
      </c>
      <c r="J18" s="3">
        <v>0.83828999999999998</v>
      </c>
      <c r="K18" s="12"/>
    </row>
    <row r="19" spans="1:11">
      <c r="A19" s="3" t="s">
        <v>184</v>
      </c>
      <c r="B19" s="3">
        <v>0.98306000000000004</v>
      </c>
      <c r="C19" s="3">
        <v>0.83950000000000002</v>
      </c>
      <c r="D19" s="3">
        <v>0.89080000000000004</v>
      </c>
      <c r="E19" s="3">
        <v>0.48709999999999998</v>
      </c>
      <c r="F19" s="3">
        <v>0.998</v>
      </c>
      <c r="G19" s="3">
        <v>1.494E-2</v>
      </c>
      <c r="H19" s="3">
        <v>0.1585</v>
      </c>
      <c r="I19" s="3">
        <v>0.1072</v>
      </c>
      <c r="J19" s="3">
        <v>0.51090000000000002</v>
      </c>
      <c r="K19" s="12"/>
    </row>
    <row r="20" spans="1:11">
      <c r="A20" s="3" t="s">
        <v>185</v>
      </c>
      <c r="B20" s="3">
        <v>0.97377000000000002</v>
      </c>
      <c r="C20" s="3">
        <v>0.90080000000000005</v>
      </c>
      <c r="D20" s="3">
        <v>0.97560000000000002</v>
      </c>
      <c r="E20" s="3">
        <v>0.79315999999999998</v>
      </c>
      <c r="F20" s="3">
        <v>1</v>
      </c>
      <c r="G20" s="3">
        <v>2.623E-2</v>
      </c>
      <c r="H20" s="3">
        <v>9.9199999999999997E-2</v>
      </c>
      <c r="I20" s="3">
        <v>2.4400000000000002E-2</v>
      </c>
      <c r="J20" s="3">
        <v>0.20684</v>
      </c>
      <c r="K20" s="12"/>
    </row>
    <row r="21" spans="1:11">
      <c r="A21" s="3" t="s">
        <v>186</v>
      </c>
      <c r="B21" s="3">
        <v>0.98402000000000001</v>
      </c>
      <c r="C21" s="3">
        <v>0.80389999999999995</v>
      </c>
      <c r="D21" s="3">
        <v>0.96160000000000001</v>
      </c>
      <c r="E21" s="3">
        <v>0.58201999999999998</v>
      </c>
      <c r="F21" s="3">
        <v>0.999</v>
      </c>
      <c r="G21" s="3">
        <v>1.498E-2</v>
      </c>
      <c r="H21" s="3">
        <v>0.1951</v>
      </c>
      <c r="I21" s="3">
        <v>3.7400000000000003E-2</v>
      </c>
      <c r="J21" s="3">
        <v>0.41698000000000002</v>
      </c>
      <c r="K21" s="12"/>
    </row>
    <row r="22" spans="1:11">
      <c r="A22" s="3" t="s">
        <v>187</v>
      </c>
      <c r="B22" s="3">
        <v>0.97123000000000004</v>
      </c>
      <c r="C22" s="3">
        <v>0.75649999999999995</v>
      </c>
      <c r="D22" s="3">
        <v>0.79820000000000002</v>
      </c>
      <c r="E22" s="3">
        <v>0.62851000000000001</v>
      </c>
      <c r="F22" s="3">
        <v>0.997</v>
      </c>
      <c r="G22" s="3">
        <v>2.5770000000000001E-2</v>
      </c>
      <c r="H22" s="3">
        <v>0.24049999999999999</v>
      </c>
      <c r="I22" s="3">
        <v>0.1988</v>
      </c>
      <c r="J22" s="3">
        <v>0.36848999999999998</v>
      </c>
      <c r="K22" s="12"/>
    </row>
    <row r="23" spans="1:11">
      <c r="A23" s="3" t="s">
        <v>188</v>
      </c>
      <c r="B23" s="3">
        <v>0.98033999999999999</v>
      </c>
      <c r="C23" s="3">
        <v>0.91369999999999996</v>
      </c>
      <c r="D23" s="3">
        <v>0.98829999999999996</v>
      </c>
      <c r="E23" s="3">
        <v>0.90225</v>
      </c>
      <c r="F23" s="3">
        <v>1</v>
      </c>
      <c r="G23" s="3">
        <v>1.966E-2</v>
      </c>
      <c r="H23" s="3">
        <v>8.6300000000000002E-2</v>
      </c>
      <c r="I23" s="3">
        <v>1.17E-2</v>
      </c>
      <c r="J23" s="3">
        <v>9.7750000000000004E-2</v>
      </c>
      <c r="K23" s="12"/>
    </row>
    <row r="24" spans="1:11">
      <c r="A24" s="3" t="s">
        <v>189</v>
      </c>
      <c r="B24" s="3">
        <v>0.98653000000000002</v>
      </c>
      <c r="C24" s="3">
        <v>0.93289999999999995</v>
      </c>
      <c r="D24" s="3">
        <v>0.99260000000000004</v>
      </c>
      <c r="E24" s="3">
        <v>0.94083000000000006</v>
      </c>
      <c r="F24" s="3">
        <v>1</v>
      </c>
      <c r="G24" s="3">
        <v>1.3469999999999999E-2</v>
      </c>
      <c r="H24" s="3">
        <v>6.7100000000000007E-2</v>
      </c>
      <c r="I24" s="3">
        <v>7.4000000000000003E-3</v>
      </c>
      <c r="J24" s="3">
        <v>5.917E-2</v>
      </c>
      <c r="K24" s="12"/>
    </row>
    <row r="25" spans="1:11">
      <c r="A25" s="3" t="s">
        <v>190</v>
      </c>
      <c r="B25" s="3">
        <v>0.98834999999999995</v>
      </c>
      <c r="C25" s="3">
        <v>0.91949999999999998</v>
      </c>
      <c r="D25" s="3">
        <v>0.98540000000000005</v>
      </c>
      <c r="E25" s="3">
        <v>0.89963000000000004</v>
      </c>
      <c r="F25" s="3">
        <v>1</v>
      </c>
      <c r="G25" s="3">
        <v>1.1650000000000001E-2</v>
      </c>
      <c r="H25" s="3">
        <v>8.0500000000000002E-2</v>
      </c>
      <c r="I25" s="3">
        <v>1.46E-2</v>
      </c>
      <c r="J25" s="3">
        <v>0.10037</v>
      </c>
      <c r="K25" s="12"/>
    </row>
    <row r="26" spans="1:11">
      <c r="A26" s="3" t="s">
        <v>191</v>
      </c>
      <c r="B26" s="3">
        <v>0.98902999999999996</v>
      </c>
      <c r="C26" s="3">
        <v>0.88980000000000004</v>
      </c>
      <c r="D26" s="3">
        <v>0.9647</v>
      </c>
      <c r="E26" s="3">
        <v>0.77464999999999995</v>
      </c>
      <c r="F26" s="3">
        <v>1</v>
      </c>
      <c r="G26" s="3">
        <v>1.0970000000000001E-2</v>
      </c>
      <c r="H26" s="3">
        <v>0.11020000000000001</v>
      </c>
      <c r="I26" s="3">
        <v>3.5299999999999998E-2</v>
      </c>
      <c r="J26" s="3">
        <v>0.22534999999999999</v>
      </c>
      <c r="K26" s="12"/>
    </row>
    <row r="27" spans="1:11">
      <c r="A27" s="3" t="s">
        <v>192</v>
      </c>
      <c r="B27" s="3">
        <v>0.97153999999999996</v>
      </c>
      <c r="C27" s="3">
        <v>0.83860000000000001</v>
      </c>
      <c r="D27" s="3">
        <v>0.93159999999999998</v>
      </c>
      <c r="E27" s="3">
        <v>0.30884</v>
      </c>
      <c r="F27" s="3">
        <v>0.998</v>
      </c>
      <c r="G27" s="3">
        <v>2.6460000000000001E-2</v>
      </c>
      <c r="H27" s="3">
        <v>0.15939999999999999</v>
      </c>
      <c r="I27" s="3">
        <v>6.6400000000000001E-2</v>
      </c>
      <c r="J27" s="3">
        <v>0.68915999999999999</v>
      </c>
      <c r="K27" s="12"/>
    </row>
    <row r="28" spans="1:11">
      <c r="A28" s="3" t="s">
        <v>193</v>
      </c>
      <c r="B28" s="3">
        <v>0.97202</v>
      </c>
      <c r="C28" s="3">
        <v>0.92979999999999996</v>
      </c>
      <c r="D28" s="3">
        <v>0.96240000000000003</v>
      </c>
      <c r="E28" s="3">
        <v>0.99724000000000002</v>
      </c>
      <c r="F28" s="3">
        <v>0.995</v>
      </c>
      <c r="G28" s="3">
        <v>2.298E-2</v>
      </c>
      <c r="H28" s="3">
        <v>6.5199999999999994E-2</v>
      </c>
      <c r="I28" s="3">
        <v>3.2599999999999997E-2</v>
      </c>
      <c r="J28" s="3">
        <v>-2.2399999999999998E-3</v>
      </c>
      <c r="K28" s="12"/>
    </row>
    <row r="29" spans="1:11">
      <c r="A29" s="3" t="s">
        <v>194</v>
      </c>
      <c r="B29" s="3">
        <v>0.94982</v>
      </c>
      <c r="C29" s="3">
        <v>0.91090000000000004</v>
      </c>
      <c r="D29" s="3">
        <v>0.93640000000000001</v>
      </c>
      <c r="E29" s="3">
        <v>0.36964000000000002</v>
      </c>
      <c r="F29" s="3">
        <v>0.996</v>
      </c>
      <c r="G29" s="3">
        <v>4.6179999999999999E-2</v>
      </c>
      <c r="H29" s="3">
        <v>8.5099999999999995E-2</v>
      </c>
      <c r="I29" s="3">
        <v>5.96E-2</v>
      </c>
      <c r="J29" s="3">
        <v>0.62636000000000003</v>
      </c>
      <c r="K29" s="12"/>
    </row>
    <row r="30" spans="1:11">
      <c r="A30" s="3" t="s">
        <v>195</v>
      </c>
      <c r="B30" s="3">
        <v>0.97741</v>
      </c>
      <c r="C30" s="3">
        <v>0.94269999999999998</v>
      </c>
      <c r="D30" s="3">
        <v>0.98570000000000002</v>
      </c>
      <c r="E30" s="3">
        <v>0.85782999999999998</v>
      </c>
      <c r="F30" s="3">
        <v>0.997</v>
      </c>
      <c r="G30" s="3">
        <v>1.959E-2</v>
      </c>
      <c r="H30" s="3">
        <v>5.4300000000000001E-2</v>
      </c>
      <c r="I30" s="3">
        <v>1.1299999999999999E-2</v>
      </c>
      <c r="J30" s="3">
        <v>0.13916999999999999</v>
      </c>
      <c r="K30" s="12"/>
    </row>
    <row r="31" spans="1:11">
      <c r="A31" s="3" t="s">
        <v>196</v>
      </c>
      <c r="B31" s="3">
        <v>0.96487999999999996</v>
      </c>
      <c r="C31" s="3">
        <v>0.84789999999999999</v>
      </c>
      <c r="D31" s="3">
        <v>0.98270000000000002</v>
      </c>
      <c r="E31" s="3">
        <v>0.85072000000000003</v>
      </c>
      <c r="F31" s="3">
        <v>0.99199999999999999</v>
      </c>
      <c r="G31" s="3">
        <v>2.7119999999999998E-2</v>
      </c>
      <c r="H31" s="3">
        <v>0.14410000000000001</v>
      </c>
      <c r="I31" s="3">
        <v>9.2999999999999992E-3</v>
      </c>
      <c r="J31" s="3">
        <v>0.14127999999999999</v>
      </c>
      <c r="K31" s="12"/>
    </row>
    <row r="32" spans="1:11">
      <c r="A32" s="3" t="s">
        <v>197</v>
      </c>
      <c r="B32" s="3">
        <v>0.93774000000000002</v>
      </c>
      <c r="C32" s="3">
        <v>0.81779999999999997</v>
      </c>
      <c r="D32" s="3">
        <v>0.86709999999999998</v>
      </c>
      <c r="E32" s="3">
        <v>0.19838</v>
      </c>
      <c r="F32" s="3">
        <v>0.97899999999999998</v>
      </c>
      <c r="G32" s="3">
        <v>4.1259999999999998E-2</v>
      </c>
      <c r="H32" s="3">
        <v>0.16120000000000001</v>
      </c>
      <c r="I32" s="3">
        <v>0.1119</v>
      </c>
      <c r="J32" s="3">
        <v>0.78061999999999998</v>
      </c>
      <c r="K32" s="12"/>
    </row>
    <row r="33" spans="1:11">
      <c r="A33" s="3" t="s">
        <v>198</v>
      </c>
      <c r="B33" s="3">
        <v>0.97570000000000001</v>
      </c>
      <c r="C33" s="3">
        <v>0.92030000000000001</v>
      </c>
      <c r="D33" s="3">
        <v>0.96509999999999996</v>
      </c>
      <c r="E33" s="3">
        <v>0.72130000000000005</v>
      </c>
      <c r="F33" s="3">
        <v>0.998</v>
      </c>
      <c r="G33" s="3">
        <v>2.23E-2</v>
      </c>
      <c r="H33" s="3">
        <v>7.7700000000000005E-2</v>
      </c>
      <c r="I33" s="3">
        <v>3.2899999999999999E-2</v>
      </c>
      <c r="J33" s="3">
        <v>0.2767</v>
      </c>
      <c r="K33" s="12"/>
    </row>
    <row r="34" spans="1:11">
      <c r="A34" s="3" t="s">
        <v>199</v>
      </c>
      <c r="B34" s="3">
        <v>0.90683999999999998</v>
      </c>
      <c r="C34" s="3">
        <v>0.79630000000000001</v>
      </c>
      <c r="D34" s="3">
        <v>0.877</v>
      </c>
      <c r="E34" s="3">
        <v>0.82481000000000004</v>
      </c>
      <c r="F34" s="3">
        <v>0.99199999999999999</v>
      </c>
      <c r="G34" s="3">
        <v>8.516E-2</v>
      </c>
      <c r="H34" s="3">
        <v>0.19570000000000001</v>
      </c>
      <c r="I34" s="3">
        <v>0.115</v>
      </c>
      <c r="J34" s="3">
        <v>0.16719000000000001</v>
      </c>
      <c r="K34" s="12"/>
    </row>
    <row r="35" spans="1:11">
      <c r="A35" s="3" t="s">
        <v>200</v>
      </c>
      <c r="B35" s="3">
        <v>0.96294999999999997</v>
      </c>
      <c r="C35" s="3">
        <v>0.78859999999999997</v>
      </c>
      <c r="D35" s="3">
        <v>0.88149999999999995</v>
      </c>
      <c r="E35" s="3">
        <v>0.26565</v>
      </c>
      <c r="F35" s="3">
        <v>0.997</v>
      </c>
      <c r="G35" s="3">
        <v>3.4049999999999997E-2</v>
      </c>
      <c r="H35" s="3">
        <v>0.2084</v>
      </c>
      <c r="I35" s="3">
        <v>0.11550000000000001</v>
      </c>
      <c r="J35" s="3">
        <v>0.73134999999999994</v>
      </c>
      <c r="K35" s="12"/>
    </row>
    <row r="36" spans="1:11">
      <c r="A36" s="12" t="s">
        <v>201</v>
      </c>
      <c r="B36" s="3">
        <v>0.93437999999999999</v>
      </c>
      <c r="C36" s="3">
        <v>0.86990000000000001</v>
      </c>
      <c r="D36" s="3">
        <v>0.92249999999999999</v>
      </c>
      <c r="E36" s="3">
        <v>0.63873999999999997</v>
      </c>
      <c r="F36" s="3">
        <v>1</v>
      </c>
      <c r="G36" s="3">
        <v>6.5619999999999998E-2</v>
      </c>
      <c r="H36" s="3">
        <v>0.13009999999999999</v>
      </c>
      <c r="I36" s="3">
        <v>7.7499999999999999E-2</v>
      </c>
      <c r="J36" s="3">
        <v>0.36126000000000003</v>
      </c>
      <c r="K36" s="12"/>
    </row>
    <row r="37" spans="1:11">
      <c r="A37" s="12" t="s">
        <v>202</v>
      </c>
      <c r="B37" s="3">
        <v>0.94615000000000005</v>
      </c>
      <c r="C37" s="3">
        <v>0.7702</v>
      </c>
      <c r="D37" s="3">
        <v>0.89449999999999996</v>
      </c>
      <c r="E37" s="3">
        <v>0.16868</v>
      </c>
      <c r="F37" s="3">
        <v>0.99</v>
      </c>
      <c r="G37" s="3">
        <v>4.385E-2</v>
      </c>
      <c r="H37" s="3">
        <v>0.2198</v>
      </c>
      <c r="I37" s="3">
        <v>9.5500000000000002E-2</v>
      </c>
      <c r="J37" s="3">
        <v>0.82132000000000005</v>
      </c>
      <c r="K37" s="12"/>
    </row>
    <row r="38" spans="1:11">
      <c r="A38" s="3" t="s">
        <v>203</v>
      </c>
      <c r="B38" s="3">
        <v>0.98941999999999997</v>
      </c>
      <c r="C38" s="3">
        <v>0.92749999999999999</v>
      </c>
      <c r="D38" s="3">
        <v>0.99629999999999996</v>
      </c>
      <c r="E38" s="3">
        <v>0.91737999999999997</v>
      </c>
      <c r="F38" s="3">
        <v>0.998</v>
      </c>
      <c r="G38" s="3">
        <v>8.5800000000000008E-3</v>
      </c>
      <c r="H38" s="3">
        <v>7.0499999999999993E-2</v>
      </c>
      <c r="I38" s="3">
        <v>1.6999999999999999E-3</v>
      </c>
      <c r="J38" s="3">
        <v>8.0619999999999997E-2</v>
      </c>
      <c r="K38" s="12"/>
    </row>
    <row r="39" spans="1:11">
      <c r="A39" s="3" t="s">
        <v>204</v>
      </c>
      <c r="B39" s="3">
        <v>0.94479999999999997</v>
      </c>
      <c r="C39" s="3">
        <v>0.8468</v>
      </c>
      <c r="D39" s="3">
        <v>0.8921</v>
      </c>
      <c r="E39" s="3">
        <v>0.77146999999999999</v>
      </c>
      <c r="F39" s="3">
        <v>0.99399999999999999</v>
      </c>
      <c r="G39" s="3">
        <v>4.9200000000000001E-2</v>
      </c>
      <c r="H39" s="3">
        <v>0.1472</v>
      </c>
      <c r="I39" s="3">
        <v>0.1019</v>
      </c>
      <c r="J39" s="3">
        <v>0.22253000000000001</v>
      </c>
      <c r="K39" s="12"/>
    </row>
    <row r="40" spans="1:11">
      <c r="A40" s="3" t="s">
        <v>205</v>
      </c>
      <c r="B40" s="3">
        <v>0.92737999999999998</v>
      </c>
      <c r="C40" s="3">
        <v>0.86470000000000002</v>
      </c>
      <c r="D40" s="3">
        <v>0.91869999999999996</v>
      </c>
      <c r="E40" s="3">
        <v>0.73277000000000003</v>
      </c>
      <c r="F40" s="3">
        <v>0.99099999999999999</v>
      </c>
      <c r="G40" s="3">
        <v>6.3619999999999996E-2</v>
      </c>
      <c r="H40" s="3">
        <v>0.1263</v>
      </c>
      <c r="I40" s="3">
        <v>7.2300000000000003E-2</v>
      </c>
      <c r="J40" s="3">
        <v>0.25823000000000002</v>
      </c>
      <c r="K40" s="12"/>
    </row>
    <row r="41" spans="1:11">
      <c r="A41" s="3" t="s">
        <v>206</v>
      </c>
      <c r="B41" s="3">
        <v>0.98680999999999996</v>
      </c>
      <c r="C41" s="3">
        <v>0.86029999999999995</v>
      </c>
      <c r="D41" s="3">
        <v>0.96530000000000005</v>
      </c>
      <c r="E41" s="3">
        <v>0.24074999999999999</v>
      </c>
      <c r="F41" s="3">
        <v>0.999</v>
      </c>
      <c r="G41" s="3">
        <v>1.2189999999999999E-2</v>
      </c>
      <c r="H41" s="3">
        <v>0.13869999999999999</v>
      </c>
      <c r="I41" s="3">
        <v>3.3700000000000001E-2</v>
      </c>
      <c r="J41" s="3">
        <v>0.75824999999999998</v>
      </c>
      <c r="K41" s="12"/>
    </row>
    <row r="42" spans="1:11">
      <c r="A42" s="3" t="s">
        <v>207</v>
      </c>
      <c r="B42" s="3">
        <v>0.87519999999999998</v>
      </c>
      <c r="C42" s="3">
        <v>0.76939999999999997</v>
      </c>
      <c r="D42" s="3">
        <v>0.90600000000000003</v>
      </c>
      <c r="E42" s="3">
        <v>0.81327000000000005</v>
      </c>
      <c r="F42" s="3">
        <v>1</v>
      </c>
      <c r="G42" s="3">
        <v>0.12479999999999999</v>
      </c>
      <c r="H42" s="3">
        <v>0.2306</v>
      </c>
      <c r="I42" s="3">
        <v>9.4E-2</v>
      </c>
      <c r="J42" s="3">
        <v>0.18673000000000001</v>
      </c>
      <c r="K42" s="12"/>
    </row>
    <row r="43" spans="1:11">
      <c r="A43" s="12" t="s">
        <v>208</v>
      </c>
      <c r="B43" s="3">
        <v>0.77117000000000002</v>
      </c>
      <c r="C43" s="3">
        <v>0.84719999999999995</v>
      </c>
      <c r="D43" s="3">
        <v>0.75819999999999999</v>
      </c>
      <c r="E43" s="3">
        <v>0.61726000000000003</v>
      </c>
      <c r="F43" s="3">
        <v>1</v>
      </c>
      <c r="G43" s="3">
        <v>0.22883000000000001</v>
      </c>
      <c r="H43" s="3">
        <v>0.15279999999999999</v>
      </c>
      <c r="I43" s="3">
        <v>0.24179999999999999</v>
      </c>
      <c r="J43" s="3">
        <v>0.38274000000000002</v>
      </c>
      <c r="K43" s="12"/>
    </row>
    <row r="44" spans="1:11">
      <c r="A44" s="3" t="s">
        <v>68</v>
      </c>
      <c r="B44" s="3">
        <v>0.99263999999999997</v>
      </c>
      <c r="C44" s="3">
        <v>0.79969999999999997</v>
      </c>
      <c r="D44" s="3">
        <v>0.97950000000000004</v>
      </c>
      <c r="E44" s="3">
        <v>0.43135000000000001</v>
      </c>
      <c r="F44" s="3">
        <v>0.999</v>
      </c>
      <c r="G44" s="3">
        <v>6.3600000000000002E-3</v>
      </c>
      <c r="H44" s="3">
        <v>0.1993</v>
      </c>
      <c r="I44" s="3">
        <v>1.95E-2</v>
      </c>
      <c r="J44" s="3">
        <v>0.56764999999999999</v>
      </c>
      <c r="K44" s="12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9D7E1-A88B-F74F-BA81-35B2E466CC7E}">
  <dimension ref="A1:F45"/>
  <sheetViews>
    <sheetView workbookViewId="0"/>
  </sheetViews>
  <sheetFormatPr baseColWidth="10" defaultRowHeight="16"/>
  <cols>
    <col min="1" max="1" width="18.83203125" customWidth="1"/>
    <col min="2" max="5" width="20.33203125" customWidth="1"/>
    <col min="6" max="6" width="14" bestFit="1" customWidth="1"/>
  </cols>
  <sheetData>
    <row r="1" spans="1:6" ht="58" customHeight="1">
      <c r="A1" s="2" t="s">
        <v>263</v>
      </c>
    </row>
    <row r="2" spans="1:6" ht="22" customHeight="1">
      <c r="A2" s="20" t="s">
        <v>0</v>
      </c>
      <c r="B2" s="19" t="s">
        <v>264</v>
      </c>
      <c r="C2" s="19"/>
      <c r="D2" s="19" t="s">
        <v>265</v>
      </c>
      <c r="E2" s="19"/>
    </row>
    <row r="3" spans="1:6" ht="22" customHeight="1">
      <c r="A3" s="20"/>
      <c r="B3" s="6" t="s">
        <v>70</v>
      </c>
      <c r="C3" s="6" t="s">
        <v>72</v>
      </c>
      <c r="D3" s="6" t="s">
        <v>70</v>
      </c>
      <c r="E3" s="6" t="s">
        <v>72</v>
      </c>
      <c r="F3" s="6" t="s">
        <v>167</v>
      </c>
    </row>
    <row r="4" spans="1:6" ht="18">
      <c r="A4" s="3" t="s">
        <v>168</v>
      </c>
      <c r="B4" s="3">
        <v>0.98089999999999999</v>
      </c>
      <c r="C4" s="3">
        <v>2.2100000000000002E-2</v>
      </c>
      <c r="D4" s="3">
        <v>0.89739999999999998</v>
      </c>
      <c r="E4" s="3">
        <v>5.74E-2</v>
      </c>
      <c r="F4" s="5">
        <f>B4-D4</f>
        <v>8.3500000000000019E-2</v>
      </c>
    </row>
    <row r="5" spans="1:6" ht="18">
      <c r="A5" s="3" t="s">
        <v>169</v>
      </c>
      <c r="B5" s="3">
        <v>0.99790000000000001</v>
      </c>
      <c r="C5" s="3">
        <v>2.3E-3</v>
      </c>
      <c r="D5" s="3">
        <v>0.9738</v>
      </c>
      <c r="E5" s="3">
        <v>9.7999999999999997E-3</v>
      </c>
      <c r="F5" s="5">
        <f t="shared" ref="F5:F45" si="0">B5-D5</f>
        <v>2.410000000000001E-2</v>
      </c>
    </row>
    <row r="6" spans="1:6" ht="18">
      <c r="A6" s="3" t="s">
        <v>170</v>
      </c>
      <c r="B6" s="3">
        <v>0.99260000000000004</v>
      </c>
      <c r="C6" s="3">
        <v>5.4999999999999997E-3</v>
      </c>
      <c r="D6" s="3">
        <v>0.99309999999999998</v>
      </c>
      <c r="E6" s="3">
        <v>6.9999999999999999E-4</v>
      </c>
      <c r="F6" s="5">
        <f t="shared" si="0"/>
        <v>-4.9999999999994493E-4</v>
      </c>
    </row>
    <row r="7" spans="1:6" ht="18">
      <c r="A7" s="3" t="s">
        <v>171</v>
      </c>
      <c r="B7" s="3">
        <v>0.99870000000000003</v>
      </c>
      <c r="C7" s="3">
        <v>1.9E-3</v>
      </c>
      <c r="D7" s="3">
        <v>0.99629999999999996</v>
      </c>
      <c r="E7" s="3">
        <v>1E-4</v>
      </c>
      <c r="F7" s="5">
        <f t="shared" si="0"/>
        <v>2.4000000000000687E-3</v>
      </c>
    </row>
    <row r="8" spans="1:6" ht="18">
      <c r="A8" s="3" t="s">
        <v>172</v>
      </c>
      <c r="B8" s="3">
        <v>0.99870000000000003</v>
      </c>
      <c r="C8" s="3">
        <v>2.0000000000000001E-4</v>
      </c>
      <c r="D8" s="3">
        <v>0.99850000000000005</v>
      </c>
      <c r="E8" s="3">
        <v>2.0000000000000001E-4</v>
      </c>
      <c r="F8" s="5">
        <f t="shared" si="0"/>
        <v>1.9999999999997797E-4</v>
      </c>
    </row>
    <row r="9" spans="1:6" ht="18">
      <c r="A9" s="3" t="s">
        <v>173</v>
      </c>
      <c r="B9" s="3">
        <v>0.998</v>
      </c>
      <c r="C9" s="3">
        <v>8.0000000000000004E-4</v>
      </c>
      <c r="D9" s="3">
        <v>0.99790000000000001</v>
      </c>
      <c r="E9" s="3">
        <v>5.0000000000000001E-4</v>
      </c>
      <c r="F9" s="5">
        <f t="shared" si="0"/>
        <v>9.9999999999988987E-5</v>
      </c>
    </row>
    <row r="10" spans="1:6" ht="18">
      <c r="A10" s="3" t="s">
        <v>174</v>
      </c>
      <c r="B10" s="3">
        <v>0.99399999999999999</v>
      </c>
      <c r="C10" s="3">
        <v>1.6000000000000001E-3</v>
      </c>
      <c r="D10" s="3">
        <v>0.99350000000000005</v>
      </c>
      <c r="E10" s="3">
        <v>5.9999999999999995E-4</v>
      </c>
      <c r="F10" s="5">
        <f t="shared" si="0"/>
        <v>4.9999999999994493E-4</v>
      </c>
    </row>
    <row r="11" spans="1:6" ht="18">
      <c r="A11" s="3" t="s">
        <v>175</v>
      </c>
      <c r="B11" s="3">
        <v>0.99829999999999997</v>
      </c>
      <c r="C11" s="3">
        <v>2.0000000000000001E-4</v>
      </c>
      <c r="D11" s="3">
        <v>0.99809999999999999</v>
      </c>
      <c r="E11" s="3">
        <v>1E-4</v>
      </c>
      <c r="F11" s="5">
        <f t="shared" si="0"/>
        <v>1.9999999999997797E-4</v>
      </c>
    </row>
    <row r="12" spans="1:6" ht="18">
      <c r="A12" s="3" t="s">
        <v>176</v>
      </c>
      <c r="B12" s="3">
        <v>1</v>
      </c>
      <c r="C12" s="3">
        <v>0</v>
      </c>
      <c r="D12" s="3">
        <v>1</v>
      </c>
      <c r="E12" s="3">
        <v>0</v>
      </c>
      <c r="F12" s="5">
        <f t="shared" si="0"/>
        <v>0</v>
      </c>
    </row>
    <row r="13" spans="1:6" ht="18">
      <c r="A13" s="3" t="s">
        <v>177</v>
      </c>
      <c r="B13" s="3">
        <v>0.99550000000000005</v>
      </c>
      <c r="C13" s="3">
        <v>1.6999999999999999E-3</v>
      </c>
      <c r="D13" s="3">
        <v>0.99629999999999996</v>
      </c>
      <c r="E13" s="3">
        <v>2.7000000000000001E-3</v>
      </c>
      <c r="F13" s="5">
        <f t="shared" si="0"/>
        <v>-7.9999999999991189E-4</v>
      </c>
    </row>
    <row r="14" spans="1:6" ht="18">
      <c r="A14" s="3" t="s">
        <v>178</v>
      </c>
      <c r="B14" s="3">
        <v>0.99370000000000003</v>
      </c>
      <c r="C14" s="3">
        <v>1.2999999999999999E-3</v>
      </c>
      <c r="D14" s="3">
        <v>0.99099999999999999</v>
      </c>
      <c r="E14" s="3">
        <v>2.9999999999999997E-4</v>
      </c>
      <c r="F14" s="5">
        <f t="shared" si="0"/>
        <v>2.7000000000000357E-3</v>
      </c>
    </row>
    <row r="15" spans="1:6" ht="18">
      <c r="A15" s="3" t="s">
        <v>179</v>
      </c>
      <c r="B15" s="3">
        <v>0.99960000000000004</v>
      </c>
      <c r="C15" s="3">
        <v>1E-4</v>
      </c>
      <c r="D15" s="3">
        <v>0.99950000000000006</v>
      </c>
      <c r="E15" s="3">
        <v>0</v>
      </c>
      <c r="F15" s="5">
        <f t="shared" si="0"/>
        <v>9.9999999999988987E-5</v>
      </c>
    </row>
    <row r="16" spans="1:6" ht="18">
      <c r="A16" s="3" t="s">
        <v>180</v>
      </c>
      <c r="B16" s="3">
        <v>0.99960000000000004</v>
      </c>
      <c r="C16" s="3">
        <v>0</v>
      </c>
      <c r="D16" s="3">
        <v>0.99960000000000004</v>
      </c>
      <c r="E16" s="3">
        <v>0</v>
      </c>
      <c r="F16" s="5">
        <f t="shared" si="0"/>
        <v>0</v>
      </c>
    </row>
    <row r="17" spans="1:6" ht="18">
      <c r="A17" s="3" t="s">
        <v>181</v>
      </c>
      <c r="B17" s="3">
        <v>0.99839999999999995</v>
      </c>
      <c r="C17" s="3">
        <v>2.8999999999999998E-3</v>
      </c>
      <c r="D17" s="3">
        <v>0.99939999999999996</v>
      </c>
      <c r="E17" s="3">
        <v>0</v>
      </c>
      <c r="F17" s="5">
        <f t="shared" si="0"/>
        <v>-1.0000000000000009E-3</v>
      </c>
    </row>
    <row r="18" spans="1:6" ht="18">
      <c r="A18" s="3" t="s">
        <v>182</v>
      </c>
      <c r="B18" s="3">
        <v>0.99929999999999997</v>
      </c>
      <c r="C18" s="3">
        <v>1E-4</v>
      </c>
      <c r="D18" s="3">
        <v>0.99919999999999998</v>
      </c>
      <c r="E18" s="3">
        <v>0</v>
      </c>
      <c r="F18" s="5">
        <f t="shared" si="0"/>
        <v>9.9999999999988987E-5</v>
      </c>
    </row>
    <row r="19" spans="1:6" ht="18">
      <c r="A19" s="3" t="s">
        <v>183</v>
      </c>
      <c r="B19" s="3">
        <v>0.99319999999999997</v>
      </c>
      <c r="C19" s="3">
        <v>1.1999999999999999E-3</v>
      </c>
      <c r="D19" s="3">
        <v>0.98899999999999999</v>
      </c>
      <c r="E19" s="3">
        <v>5.0000000000000001E-4</v>
      </c>
      <c r="F19" s="5">
        <f t="shared" si="0"/>
        <v>4.1999999999999815E-3</v>
      </c>
    </row>
    <row r="20" spans="1:6" ht="18">
      <c r="A20" s="3" t="s">
        <v>184</v>
      </c>
      <c r="B20" s="3">
        <v>0.99809999999999999</v>
      </c>
      <c r="C20" s="3">
        <v>2.0000000000000001E-4</v>
      </c>
      <c r="D20" s="3">
        <v>0.99729999999999996</v>
      </c>
      <c r="E20" s="3">
        <v>4.0000000000000002E-4</v>
      </c>
      <c r="F20" s="5">
        <f t="shared" si="0"/>
        <v>8.0000000000002292E-4</v>
      </c>
    </row>
    <row r="21" spans="1:6" ht="18">
      <c r="A21" s="3" t="s">
        <v>185</v>
      </c>
      <c r="B21" s="3">
        <v>0.99980000000000002</v>
      </c>
      <c r="C21" s="3">
        <v>1E-4</v>
      </c>
      <c r="D21" s="3">
        <v>0.99890000000000001</v>
      </c>
      <c r="E21" s="3">
        <v>2.9999999999999997E-4</v>
      </c>
      <c r="F21" s="5">
        <f t="shared" si="0"/>
        <v>9.000000000000119E-4</v>
      </c>
    </row>
    <row r="22" spans="1:6" ht="18">
      <c r="A22" s="3" t="s">
        <v>186</v>
      </c>
      <c r="B22" s="3">
        <v>0.9617</v>
      </c>
      <c r="C22" s="3">
        <v>9.0999999999999998E-2</v>
      </c>
      <c r="D22" s="3">
        <v>0.99870000000000003</v>
      </c>
      <c r="E22" s="3">
        <v>2.0000000000000001E-4</v>
      </c>
      <c r="F22" s="5">
        <f t="shared" si="0"/>
        <v>-3.7000000000000033E-2</v>
      </c>
    </row>
    <row r="23" spans="1:6" ht="18">
      <c r="A23" s="3" t="s">
        <v>187</v>
      </c>
      <c r="B23" s="3">
        <v>0.99619999999999997</v>
      </c>
      <c r="C23" s="3">
        <v>6.9999999999999999E-4</v>
      </c>
      <c r="D23" s="3">
        <v>0.99409999999999998</v>
      </c>
      <c r="E23" s="3">
        <v>5.0000000000000001E-4</v>
      </c>
      <c r="F23" s="5">
        <f t="shared" si="0"/>
        <v>2.0999999999999908E-3</v>
      </c>
    </row>
    <row r="24" spans="1:6" ht="18">
      <c r="A24" s="3" t="s">
        <v>188</v>
      </c>
      <c r="B24" s="3">
        <v>0.99960000000000004</v>
      </c>
      <c r="C24" s="3">
        <v>1E-4</v>
      </c>
      <c r="D24" s="3">
        <v>0.99960000000000004</v>
      </c>
      <c r="E24" s="3">
        <v>1E-4</v>
      </c>
      <c r="F24" s="5">
        <f t="shared" si="0"/>
        <v>0</v>
      </c>
    </row>
    <row r="25" spans="1:6" ht="18">
      <c r="A25" s="3" t="s">
        <v>189</v>
      </c>
      <c r="B25" s="3">
        <v>0.99990000000000001</v>
      </c>
      <c r="C25" s="3">
        <v>0</v>
      </c>
      <c r="D25" s="3">
        <v>0.99990000000000001</v>
      </c>
      <c r="E25" s="3">
        <v>0</v>
      </c>
      <c r="F25" s="5">
        <f t="shared" si="0"/>
        <v>0</v>
      </c>
    </row>
    <row r="26" spans="1:6" ht="18">
      <c r="A26" s="3" t="s">
        <v>190</v>
      </c>
      <c r="B26" s="3">
        <v>0.99990000000000001</v>
      </c>
      <c r="C26" s="3">
        <v>0</v>
      </c>
      <c r="D26" s="3">
        <v>0.99990000000000001</v>
      </c>
      <c r="E26" s="3">
        <v>0</v>
      </c>
      <c r="F26" s="5">
        <f t="shared" si="0"/>
        <v>0</v>
      </c>
    </row>
    <row r="27" spans="1:6" ht="18">
      <c r="A27" s="3" t="s">
        <v>191</v>
      </c>
      <c r="B27" s="3">
        <v>0.99980000000000002</v>
      </c>
      <c r="C27" s="3">
        <v>0</v>
      </c>
      <c r="D27" s="3">
        <v>0.99950000000000006</v>
      </c>
      <c r="E27" s="3">
        <v>1E-4</v>
      </c>
      <c r="F27" s="5">
        <f t="shared" si="0"/>
        <v>2.9999999999996696E-4</v>
      </c>
    </row>
    <row r="28" spans="1:6" ht="18">
      <c r="A28" s="3" t="s">
        <v>192</v>
      </c>
      <c r="B28" s="3">
        <v>0.99760000000000004</v>
      </c>
      <c r="C28" s="3">
        <v>2.9999999999999997E-4</v>
      </c>
      <c r="D28" s="3">
        <v>0.99719999999999998</v>
      </c>
      <c r="E28" s="3">
        <v>2.0000000000000001E-4</v>
      </c>
      <c r="F28" s="5">
        <f t="shared" si="0"/>
        <v>4.0000000000006697E-4</v>
      </c>
    </row>
    <row r="29" spans="1:6" ht="18">
      <c r="A29" s="3" t="s">
        <v>193</v>
      </c>
      <c r="B29" s="3">
        <v>0.995</v>
      </c>
      <c r="C29" s="3">
        <v>1.9E-3</v>
      </c>
      <c r="D29" s="3">
        <v>0.99419999999999997</v>
      </c>
      <c r="E29" s="3">
        <v>2.0999999999999999E-3</v>
      </c>
      <c r="F29" s="5">
        <f t="shared" si="0"/>
        <v>8.0000000000002292E-4</v>
      </c>
    </row>
    <row r="30" spans="1:6" ht="18">
      <c r="A30" s="3" t="s">
        <v>194</v>
      </c>
      <c r="B30" s="3">
        <v>0.99529999999999996</v>
      </c>
      <c r="C30" s="3">
        <v>1.6000000000000001E-3</v>
      </c>
      <c r="D30" s="3">
        <v>0.99419999999999997</v>
      </c>
      <c r="E30" s="3">
        <v>5.9999999999999995E-4</v>
      </c>
      <c r="F30" s="5">
        <f t="shared" si="0"/>
        <v>1.0999999999999899E-3</v>
      </c>
    </row>
    <row r="31" spans="1:6" ht="18">
      <c r="A31" s="3" t="s">
        <v>195</v>
      </c>
      <c r="B31" s="3">
        <v>0.89019999999999999</v>
      </c>
      <c r="C31" s="3">
        <v>0.17180000000000001</v>
      </c>
      <c r="D31" s="3">
        <v>0.61070000000000002</v>
      </c>
      <c r="E31" s="3">
        <v>1.15E-2</v>
      </c>
      <c r="F31" s="5">
        <f t="shared" si="0"/>
        <v>0.27949999999999997</v>
      </c>
    </row>
    <row r="32" spans="1:6" ht="18">
      <c r="A32" s="3" t="s">
        <v>196</v>
      </c>
      <c r="B32" s="3">
        <v>0.98509999999999998</v>
      </c>
      <c r="C32" s="3">
        <v>2.0500000000000001E-2</v>
      </c>
      <c r="D32" s="3">
        <v>0.99539999999999995</v>
      </c>
      <c r="E32" s="3">
        <v>2.0000000000000001E-4</v>
      </c>
      <c r="F32" s="5">
        <f t="shared" si="0"/>
        <v>-1.0299999999999976E-2</v>
      </c>
    </row>
    <row r="33" spans="1:6" ht="18">
      <c r="A33" s="3" t="s">
        <v>197</v>
      </c>
      <c r="B33" s="3">
        <v>0.99580000000000002</v>
      </c>
      <c r="C33" s="3">
        <v>4.0000000000000001E-3</v>
      </c>
      <c r="D33" s="3">
        <v>0.99590000000000001</v>
      </c>
      <c r="E33" s="3">
        <v>2.9999999999999997E-4</v>
      </c>
      <c r="F33" s="5">
        <f t="shared" si="0"/>
        <v>-9.9999999999988987E-5</v>
      </c>
    </row>
    <row r="34" spans="1:6" ht="18">
      <c r="A34" s="3" t="s">
        <v>198</v>
      </c>
      <c r="B34" s="3">
        <v>0.99839999999999995</v>
      </c>
      <c r="C34" s="3">
        <v>1E-3</v>
      </c>
      <c r="D34" s="3">
        <v>0.99919999999999998</v>
      </c>
      <c r="E34" s="3">
        <v>2.0000000000000001E-4</v>
      </c>
      <c r="F34" s="5">
        <f t="shared" si="0"/>
        <v>-8.0000000000002292E-4</v>
      </c>
    </row>
    <row r="35" spans="1:6" ht="18">
      <c r="A35" s="3" t="s">
        <v>199</v>
      </c>
      <c r="B35" s="3">
        <v>0.99080000000000001</v>
      </c>
      <c r="C35" s="3">
        <v>2.7000000000000001E-3</v>
      </c>
      <c r="D35" s="3">
        <v>0.98670000000000002</v>
      </c>
      <c r="E35" s="3">
        <v>5.9999999999999995E-4</v>
      </c>
      <c r="F35" s="5">
        <f t="shared" si="0"/>
        <v>4.0999999999999925E-3</v>
      </c>
    </row>
    <row r="36" spans="1:6" ht="18">
      <c r="A36" s="3" t="s">
        <v>200</v>
      </c>
      <c r="B36" s="3">
        <v>0.99719999999999998</v>
      </c>
      <c r="C36" s="3">
        <v>6.9999999999999999E-4</v>
      </c>
      <c r="D36" s="3">
        <v>0.99570000000000003</v>
      </c>
      <c r="E36" s="3">
        <v>2.0000000000000001E-4</v>
      </c>
      <c r="F36" s="5">
        <f t="shared" si="0"/>
        <v>1.4999999999999458E-3</v>
      </c>
    </row>
    <row r="37" spans="1:6" ht="18">
      <c r="A37" s="12" t="s">
        <v>201</v>
      </c>
      <c r="B37" s="3">
        <v>0.99939999999999996</v>
      </c>
      <c r="C37" s="3">
        <v>4.0000000000000002E-4</v>
      </c>
      <c r="D37" s="3">
        <v>0.99870000000000003</v>
      </c>
      <c r="E37" s="3">
        <v>2.0000000000000001E-4</v>
      </c>
      <c r="F37" s="5">
        <f t="shared" si="0"/>
        <v>6.9999999999992291E-4</v>
      </c>
    </row>
    <row r="38" spans="1:6" ht="18">
      <c r="A38" s="12" t="s">
        <v>202</v>
      </c>
      <c r="B38" s="3">
        <v>0.98829999999999996</v>
      </c>
      <c r="C38" s="3">
        <v>3.3999999999999998E-3</v>
      </c>
      <c r="D38" s="3">
        <v>0.9869</v>
      </c>
      <c r="E38" s="3">
        <v>8.9999999999999998E-4</v>
      </c>
      <c r="F38" s="5">
        <f t="shared" si="0"/>
        <v>1.3999999999999568E-3</v>
      </c>
    </row>
    <row r="39" spans="1:6" ht="18">
      <c r="A39" s="3" t="s">
        <v>203</v>
      </c>
      <c r="B39" s="3">
        <v>0.99839999999999995</v>
      </c>
      <c r="C39" s="3">
        <v>2.0000000000000001E-4</v>
      </c>
      <c r="D39" s="3">
        <v>0.99809999999999999</v>
      </c>
      <c r="E39" s="3">
        <v>2.0000000000000001E-4</v>
      </c>
      <c r="F39" s="5">
        <f t="shared" si="0"/>
        <v>2.9999999999996696E-4</v>
      </c>
    </row>
    <row r="40" spans="1:6" ht="18">
      <c r="A40" s="3" t="s">
        <v>204</v>
      </c>
      <c r="B40" s="3">
        <v>0.9929</v>
      </c>
      <c r="C40" s="3">
        <v>1.8E-3</v>
      </c>
      <c r="D40" s="3">
        <v>0.99429999999999996</v>
      </c>
      <c r="E40" s="3">
        <v>2.9999999999999997E-4</v>
      </c>
      <c r="F40" s="5">
        <f t="shared" si="0"/>
        <v>-1.3999999999999568E-3</v>
      </c>
    </row>
    <row r="41" spans="1:6" ht="18">
      <c r="A41" s="3" t="s">
        <v>205</v>
      </c>
      <c r="B41" s="3">
        <v>0.99080000000000001</v>
      </c>
      <c r="C41" s="3">
        <v>1.5E-3</v>
      </c>
      <c r="D41" s="3">
        <v>0.99060000000000004</v>
      </c>
      <c r="E41" s="3">
        <v>2.0000000000000001E-4</v>
      </c>
      <c r="F41" s="5">
        <f t="shared" si="0"/>
        <v>1.9999999999997797E-4</v>
      </c>
    </row>
    <row r="42" spans="1:6" ht="18">
      <c r="A42" s="3" t="s">
        <v>206</v>
      </c>
      <c r="B42" s="3">
        <v>0.99919999999999998</v>
      </c>
      <c r="C42" s="3">
        <v>2.0000000000000001E-4</v>
      </c>
      <c r="D42" s="3">
        <v>0.99770000000000003</v>
      </c>
      <c r="E42" s="3">
        <v>2.9999999999999997E-4</v>
      </c>
      <c r="F42" s="5">
        <f t="shared" si="0"/>
        <v>1.4999999999999458E-3</v>
      </c>
    </row>
    <row r="43" spans="1:6" ht="18">
      <c r="A43" s="3" t="s">
        <v>207</v>
      </c>
      <c r="B43" s="3">
        <v>0.99939999999999996</v>
      </c>
      <c r="C43" s="3">
        <v>1.8E-3</v>
      </c>
      <c r="D43" s="3">
        <v>0.99250000000000005</v>
      </c>
      <c r="E43" s="3">
        <v>2.7000000000000001E-3</v>
      </c>
      <c r="F43" s="5">
        <f t="shared" si="0"/>
        <v>6.8999999999999062E-3</v>
      </c>
    </row>
    <row r="44" spans="1:6" ht="18">
      <c r="A44" s="12" t="s">
        <v>208</v>
      </c>
      <c r="B44" s="3">
        <v>0.99929999999999997</v>
      </c>
      <c r="C44" s="3">
        <v>8.0000000000000004E-4</v>
      </c>
      <c r="D44" s="3">
        <v>0.9879</v>
      </c>
      <c r="E44" s="3">
        <v>6.4999999999999997E-3</v>
      </c>
      <c r="F44" s="5">
        <f t="shared" si="0"/>
        <v>1.1399999999999966E-2</v>
      </c>
    </row>
    <row r="45" spans="1:6" ht="18">
      <c r="A45" s="3" t="s">
        <v>68</v>
      </c>
      <c r="B45" s="3">
        <v>0.99909999999999999</v>
      </c>
      <c r="C45" s="3">
        <v>1E-4</v>
      </c>
      <c r="D45" s="3">
        <v>0.99890000000000001</v>
      </c>
      <c r="E45" s="3">
        <v>0</v>
      </c>
      <c r="F45" s="5">
        <f t="shared" si="0"/>
        <v>1.9999999999997797E-4</v>
      </c>
    </row>
  </sheetData>
  <mergeCells count="3">
    <mergeCell ref="A2:A3"/>
    <mergeCell ref="B2:C2"/>
    <mergeCell ref="D2:E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F4D31-AC39-EF46-AE8E-9D138ABF97B3}">
  <dimension ref="A1:M79"/>
  <sheetViews>
    <sheetView zoomScaleNormal="100" workbookViewId="0"/>
  </sheetViews>
  <sheetFormatPr baseColWidth="10" defaultRowHeight="16"/>
  <cols>
    <col min="1" max="13" width="18.83203125" customWidth="1"/>
  </cols>
  <sheetData>
    <row r="1" spans="1:13" ht="58" customHeight="1">
      <c r="A1" s="2" t="s">
        <v>233</v>
      </c>
      <c r="B1" s="2"/>
      <c r="C1" s="2"/>
      <c r="D1" s="2"/>
      <c r="E1" s="2"/>
      <c r="F1" s="2"/>
      <c r="G1" s="2"/>
      <c r="H1" s="4"/>
      <c r="I1" s="4"/>
      <c r="J1" s="4"/>
      <c r="K1" s="4"/>
      <c r="L1" s="4"/>
      <c r="M1" s="4"/>
    </row>
    <row r="2" spans="1:13" s="8" customFormat="1" ht="25" customHeight="1">
      <c r="A2" s="20" t="s">
        <v>0</v>
      </c>
      <c r="B2" s="19" t="s">
        <v>158</v>
      </c>
      <c r="C2" s="19"/>
      <c r="D2" s="19" t="s">
        <v>159</v>
      </c>
      <c r="E2" s="19"/>
      <c r="F2" s="19" t="s">
        <v>160</v>
      </c>
      <c r="G2" s="19"/>
      <c r="H2" s="22" t="s">
        <v>161</v>
      </c>
      <c r="I2" s="22"/>
      <c r="J2" s="22" t="s">
        <v>162</v>
      </c>
      <c r="K2" s="22"/>
      <c r="L2" s="22" t="s">
        <v>211</v>
      </c>
      <c r="M2" s="22"/>
    </row>
    <row r="3" spans="1:13" s="8" customFormat="1" ht="25" customHeight="1">
      <c r="A3" s="20"/>
      <c r="B3" s="6" t="s">
        <v>70</v>
      </c>
      <c r="C3" s="6" t="s">
        <v>72</v>
      </c>
      <c r="D3" s="6" t="s">
        <v>70</v>
      </c>
      <c r="E3" s="6" t="s">
        <v>72</v>
      </c>
      <c r="F3" s="6" t="s">
        <v>69</v>
      </c>
      <c r="G3" s="6" t="s">
        <v>71</v>
      </c>
      <c r="H3" s="6" t="s">
        <v>69</v>
      </c>
      <c r="I3" s="6" t="s">
        <v>71</v>
      </c>
      <c r="J3" s="6" t="s">
        <v>69</v>
      </c>
      <c r="K3" s="6" t="s">
        <v>71</v>
      </c>
      <c r="L3" s="6" t="s">
        <v>69</v>
      </c>
      <c r="M3" s="6" t="s">
        <v>71</v>
      </c>
    </row>
    <row r="4" spans="1:13" ht="18" customHeight="1">
      <c r="A4" s="3" t="s">
        <v>168</v>
      </c>
      <c r="B4" s="3">
        <v>0.97699999999999998</v>
      </c>
      <c r="C4" s="3">
        <v>4.0000000000000001E-3</v>
      </c>
      <c r="D4" s="3">
        <v>0.97899999999999998</v>
      </c>
      <c r="E4" s="3">
        <v>2.5000000000000001E-2</v>
      </c>
      <c r="F4" s="3">
        <v>0.98799999999999999</v>
      </c>
      <c r="G4" s="3">
        <v>5.0000000000000001E-3</v>
      </c>
      <c r="H4" s="3">
        <v>0.98899999999999999</v>
      </c>
      <c r="I4" s="3">
        <v>6.0000000000000001E-3</v>
      </c>
      <c r="J4" s="3">
        <v>0.98099999999999998</v>
      </c>
      <c r="K4" s="3">
        <v>2.1999999999999999E-2</v>
      </c>
      <c r="L4" s="3">
        <v>0.97699999999999998</v>
      </c>
      <c r="M4" s="3">
        <v>2.5999999999999999E-2</v>
      </c>
    </row>
    <row r="5" spans="1:13" ht="18" customHeight="1">
      <c r="A5" s="3" t="s">
        <v>169</v>
      </c>
      <c r="B5" s="3">
        <v>0.99399999999999999</v>
      </c>
      <c r="C5" s="3">
        <v>2E-3</v>
      </c>
      <c r="D5" s="3">
        <v>0.99299999999999999</v>
      </c>
      <c r="E5" s="3">
        <v>3.0000000000000001E-3</v>
      </c>
      <c r="F5" s="3">
        <v>0.996</v>
      </c>
      <c r="G5" s="3">
        <v>2E-3</v>
      </c>
      <c r="H5" s="3">
        <v>0.997</v>
      </c>
      <c r="I5" s="3">
        <v>2E-3</v>
      </c>
      <c r="J5" s="3">
        <v>0.998</v>
      </c>
      <c r="K5" s="3">
        <v>2E-3</v>
      </c>
      <c r="L5" s="3">
        <v>0.999</v>
      </c>
      <c r="M5" s="3">
        <v>1E-3</v>
      </c>
    </row>
    <row r="6" spans="1:13" ht="18">
      <c r="A6" s="3" t="s">
        <v>170</v>
      </c>
      <c r="B6" s="3">
        <v>0.99</v>
      </c>
      <c r="C6" s="3">
        <v>2E-3</v>
      </c>
      <c r="D6" s="3">
        <v>0.98399999999999999</v>
      </c>
      <c r="E6" s="3">
        <v>2.1999999999999999E-2</v>
      </c>
      <c r="F6" s="3">
        <v>0.98899999999999999</v>
      </c>
      <c r="G6" s="3">
        <v>1.2E-2</v>
      </c>
      <c r="H6" s="3">
        <v>0.99399999999999999</v>
      </c>
      <c r="I6" s="3">
        <v>1E-3</v>
      </c>
      <c r="J6" s="3">
        <v>0.99299999999999999</v>
      </c>
      <c r="K6" s="3">
        <v>6.0000000000000001E-3</v>
      </c>
      <c r="L6" s="3">
        <v>0.995</v>
      </c>
      <c r="M6" s="3">
        <v>2E-3</v>
      </c>
    </row>
    <row r="7" spans="1:13" ht="18">
      <c r="A7" s="3" t="s">
        <v>171</v>
      </c>
      <c r="B7" s="3">
        <v>0.998</v>
      </c>
      <c r="C7" s="3">
        <v>1E-3</v>
      </c>
      <c r="D7" s="3">
        <v>0.999</v>
      </c>
      <c r="E7" s="3">
        <v>1E-3</v>
      </c>
      <c r="F7" s="3">
        <v>0.999</v>
      </c>
      <c r="G7" s="3">
        <v>0</v>
      </c>
      <c r="H7" s="3">
        <v>0.999</v>
      </c>
      <c r="I7" s="3">
        <v>0</v>
      </c>
      <c r="J7" s="3">
        <v>0.999</v>
      </c>
      <c r="K7" s="3">
        <v>2E-3</v>
      </c>
      <c r="L7" s="3">
        <v>0.999</v>
      </c>
      <c r="M7" s="3">
        <v>1E-3</v>
      </c>
    </row>
    <row r="8" spans="1:13" ht="18">
      <c r="A8" s="3" t="s">
        <v>172</v>
      </c>
      <c r="B8" s="3">
        <v>0.998</v>
      </c>
      <c r="C8" s="3">
        <v>0</v>
      </c>
      <c r="D8" s="3">
        <v>0.998</v>
      </c>
      <c r="E8" s="3">
        <v>0</v>
      </c>
      <c r="F8" s="3">
        <v>0.998</v>
      </c>
      <c r="G8" s="3">
        <v>0</v>
      </c>
      <c r="H8" s="3">
        <v>0.999</v>
      </c>
      <c r="I8" s="3">
        <v>0</v>
      </c>
      <c r="J8" s="3">
        <v>0.999</v>
      </c>
      <c r="K8" s="3">
        <v>0</v>
      </c>
      <c r="L8" s="3">
        <v>0.999</v>
      </c>
      <c r="M8" s="3">
        <v>0</v>
      </c>
    </row>
    <row r="9" spans="1:13" ht="18">
      <c r="A9" s="3" t="s">
        <v>173</v>
      </c>
      <c r="B9" s="3">
        <v>0.997</v>
      </c>
      <c r="C9" s="3">
        <v>1E-3</v>
      </c>
      <c r="D9" s="3">
        <v>0.998</v>
      </c>
      <c r="E9" s="3">
        <v>0</v>
      </c>
      <c r="F9" s="3">
        <v>0.998</v>
      </c>
      <c r="G9" s="3">
        <v>0</v>
      </c>
      <c r="H9" s="3">
        <v>0.998</v>
      </c>
      <c r="I9" s="3">
        <v>0</v>
      </c>
      <c r="J9" s="3">
        <v>0.998</v>
      </c>
      <c r="K9" s="3">
        <v>1E-3</v>
      </c>
      <c r="L9" s="3">
        <v>0.998</v>
      </c>
      <c r="M9" s="3">
        <v>1E-3</v>
      </c>
    </row>
    <row r="10" spans="1:13" ht="18">
      <c r="A10" s="3" t="s">
        <v>174</v>
      </c>
      <c r="B10" s="3">
        <v>0.99099999999999999</v>
      </c>
      <c r="C10" s="3">
        <v>1E-3</v>
      </c>
      <c r="D10" s="3">
        <v>0.99399999999999999</v>
      </c>
      <c r="E10" s="3">
        <v>1E-3</v>
      </c>
      <c r="F10" s="3">
        <v>0.99399999999999999</v>
      </c>
      <c r="G10" s="3">
        <v>1E-3</v>
      </c>
      <c r="H10" s="3">
        <v>0.99399999999999999</v>
      </c>
      <c r="I10" s="3">
        <v>1E-3</v>
      </c>
      <c r="J10" s="3">
        <v>0.99399999999999999</v>
      </c>
      <c r="K10" s="3">
        <v>2E-3</v>
      </c>
      <c r="L10" s="3">
        <v>0.995</v>
      </c>
      <c r="M10" s="3">
        <v>1E-3</v>
      </c>
    </row>
    <row r="11" spans="1:13" ht="18">
      <c r="A11" s="3" t="s">
        <v>175</v>
      </c>
      <c r="B11" s="3">
        <v>0.997</v>
      </c>
      <c r="C11" s="3">
        <v>2E-3</v>
      </c>
      <c r="D11" s="3">
        <v>0.998</v>
      </c>
      <c r="E11" s="3">
        <v>0</v>
      </c>
      <c r="F11" s="3">
        <v>0.998</v>
      </c>
      <c r="G11" s="3">
        <v>0</v>
      </c>
      <c r="H11" s="3">
        <v>0.96599999999999997</v>
      </c>
      <c r="I11" s="3">
        <v>9.5000000000000001E-2</v>
      </c>
      <c r="J11" s="3">
        <v>0.998</v>
      </c>
      <c r="K11" s="3">
        <v>0</v>
      </c>
      <c r="L11" s="3">
        <v>0.998</v>
      </c>
      <c r="M11" s="3">
        <v>2E-3</v>
      </c>
    </row>
    <row r="12" spans="1:13" ht="18">
      <c r="A12" s="3" t="s">
        <v>176</v>
      </c>
      <c r="B12" s="3">
        <v>1</v>
      </c>
      <c r="C12" s="3">
        <v>0</v>
      </c>
      <c r="D12" s="3">
        <v>1</v>
      </c>
      <c r="E12" s="3">
        <v>0</v>
      </c>
      <c r="F12" s="3">
        <v>1</v>
      </c>
      <c r="G12" s="3">
        <v>0</v>
      </c>
      <c r="H12" s="3">
        <v>1</v>
      </c>
      <c r="I12" s="3">
        <v>0</v>
      </c>
      <c r="J12" s="3">
        <v>1</v>
      </c>
      <c r="K12" s="3">
        <v>0</v>
      </c>
      <c r="L12" s="3">
        <v>1</v>
      </c>
      <c r="M12" s="3">
        <v>0</v>
      </c>
    </row>
    <row r="13" spans="1:13" ht="18">
      <c r="A13" s="3" t="s">
        <v>177</v>
      </c>
      <c r="B13" s="3">
        <v>0.99099999999999999</v>
      </c>
      <c r="C13" s="3">
        <v>4.0000000000000001E-3</v>
      </c>
      <c r="D13" s="3">
        <v>0.99399999999999999</v>
      </c>
      <c r="E13" s="3">
        <v>3.0000000000000001E-3</v>
      </c>
      <c r="F13" s="3">
        <v>0.995</v>
      </c>
      <c r="G13" s="3">
        <v>4.0000000000000001E-3</v>
      </c>
      <c r="H13" s="3">
        <v>0.997</v>
      </c>
      <c r="I13" s="3">
        <v>1E-3</v>
      </c>
      <c r="J13" s="3">
        <v>0.995</v>
      </c>
      <c r="K13" s="3">
        <v>2E-3</v>
      </c>
      <c r="L13" s="3">
        <v>0.996</v>
      </c>
      <c r="M13" s="3">
        <v>1E-3</v>
      </c>
    </row>
    <row r="14" spans="1:13" ht="18">
      <c r="A14" s="3" t="s">
        <v>178</v>
      </c>
      <c r="B14" s="3">
        <v>0.99199999999999999</v>
      </c>
      <c r="C14" s="3">
        <v>1E-3</v>
      </c>
      <c r="D14" s="3">
        <v>0.99299999999999999</v>
      </c>
      <c r="E14" s="3">
        <v>1E-3</v>
      </c>
      <c r="F14" s="3">
        <v>0.99399999999999999</v>
      </c>
      <c r="G14" s="3">
        <v>1E-3</v>
      </c>
      <c r="H14" s="3">
        <v>0.99399999999999999</v>
      </c>
      <c r="I14" s="3">
        <v>1E-3</v>
      </c>
      <c r="J14" s="3">
        <v>0.99399999999999999</v>
      </c>
      <c r="K14" s="3">
        <v>1E-3</v>
      </c>
      <c r="L14" s="3">
        <v>0.99399999999999999</v>
      </c>
      <c r="M14" s="3">
        <v>1E-3</v>
      </c>
    </row>
    <row r="15" spans="1:13" ht="18">
      <c r="A15" s="3" t="s">
        <v>179</v>
      </c>
      <c r="B15" s="3">
        <v>1</v>
      </c>
      <c r="C15" s="3">
        <v>0</v>
      </c>
      <c r="D15" s="3">
        <v>1</v>
      </c>
      <c r="E15" s="3">
        <v>0</v>
      </c>
      <c r="F15" s="3">
        <v>1</v>
      </c>
      <c r="G15" s="3">
        <v>0</v>
      </c>
      <c r="H15" s="3">
        <v>1</v>
      </c>
      <c r="I15" s="3">
        <v>0</v>
      </c>
      <c r="J15" s="3">
        <v>1</v>
      </c>
      <c r="K15" s="3">
        <v>0</v>
      </c>
      <c r="L15" s="3">
        <v>1</v>
      </c>
      <c r="M15" s="3">
        <v>0</v>
      </c>
    </row>
    <row r="16" spans="1:13" ht="18">
      <c r="A16" s="3" t="s">
        <v>180</v>
      </c>
      <c r="B16" s="3">
        <v>1</v>
      </c>
      <c r="C16" s="3">
        <v>0</v>
      </c>
      <c r="D16" s="3">
        <v>1</v>
      </c>
      <c r="E16" s="3">
        <v>0</v>
      </c>
      <c r="F16" s="3">
        <v>1</v>
      </c>
      <c r="G16" s="3">
        <v>0</v>
      </c>
      <c r="H16" s="3">
        <v>1</v>
      </c>
      <c r="I16" s="3">
        <v>0</v>
      </c>
      <c r="J16" s="3">
        <v>1</v>
      </c>
      <c r="K16" s="3">
        <v>0</v>
      </c>
      <c r="L16" s="3">
        <v>1</v>
      </c>
      <c r="M16" s="3">
        <v>0</v>
      </c>
    </row>
    <row r="17" spans="1:13" ht="18">
      <c r="A17" s="3" t="s">
        <v>181</v>
      </c>
      <c r="B17" s="3">
        <v>0.999</v>
      </c>
      <c r="C17" s="3">
        <v>0</v>
      </c>
      <c r="D17" s="3">
        <v>0.999</v>
      </c>
      <c r="E17" s="3">
        <v>0</v>
      </c>
      <c r="F17" s="3">
        <v>0.999</v>
      </c>
      <c r="G17" s="3">
        <v>0</v>
      </c>
      <c r="H17" s="3">
        <v>0.999</v>
      </c>
      <c r="I17" s="3">
        <v>0</v>
      </c>
      <c r="J17" s="3">
        <v>0.998</v>
      </c>
      <c r="K17" s="3">
        <v>3.0000000000000001E-3</v>
      </c>
      <c r="L17" s="3">
        <v>0.999</v>
      </c>
      <c r="M17" s="3">
        <v>0</v>
      </c>
    </row>
    <row r="18" spans="1:13" ht="18">
      <c r="A18" s="3" t="s">
        <v>182</v>
      </c>
      <c r="B18" s="3">
        <v>0.999</v>
      </c>
      <c r="C18" s="3">
        <v>0</v>
      </c>
      <c r="D18" s="3">
        <v>0.999</v>
      </c>
      <c r="E18" s="3">
        <v>0</v>
      </c>
      <c r="F18" s="3">
        <v>0.999</v>
      </c>
      <c r="G18" s="3">
        <v>0</v>
      </c>
      <c r="H18" s="3">
        <v>0.999</v>
      </c>
      <c r="I18" s="3">
        <v>0</v>
      </c>
      <c r="J18" s="3">
        <v>0.999</v>
      </c>
      <c r="K18" s="3">
        <v>0</v>
      </c>
      <c r="L18" s="3">
        <v>0.999</v>
      </c>
      <c r="M18" s="3">
        <v>0</v>
      </c>
    </row>
    <row r="19" spans="1:13" ht="18">
      <c r="A19" s="3" t="s">
        <v>183</v>
      </c>
      <c r="B19" s="3">
        <v>0.98799999999999999</v>
      </c>
      <c r="C19" s="3">
        <v>1E-3</v>
      </c>
      <c r="D19" s="3">
        <v>0.99</v>
      </c>
      <c r="E19" s="3">
        <v>1E-3</v>
      </c>
      <c r="F19" s="3">
        <v>0.99099999999999999</v>
      </c>
      <c r="G19" s="3">
        <v>1E-3</v>
      </c>
      <c r="H19" s="3">
        <v>0.99199999999999999</v>
      </c>
      <c r="I19" s="3">
        <v>3.0000000000000001E-3</v>
      </c>
      <c r="J19" s="3">
        <v>0.99299999999999999</v>
      </c>
      <c r="K19" s="3">
        <v>1E-3</v>
      </c>
      <c r="L19" s="3">
        <v>0.99199999999999999</v>
      </c>
      <c r="M19" s="3">
        <v>2E-3</v>
      </c>
    </row>
    <row r="20" spans="1:13" ht="18">
      <c r="A20" s="3" t="s">
        <v>184</v>
      </c>
      <c r="B20" s="3">
        <v>0.996</v>
      </c>
      <c r="C20" s="3">
        <v>0</v>
      </c>
      <c r="D20" s="3">
        <v>0.998</v>
      </c>
      <c r="E20" s="3">
        <v>0</v>
      </c>
      <c r="F20" s="3">
        <v>0.998</v>
      </c>
      <c r="G20" s="3">
        <v>0</v>
      </c>
      <c r="H20" s="3">
        <v>0.998</v>
      </c>
      <c r="I20" s="3">
        <v>0</v>
      </c>
      <c r="J20" s="3">
        <v>0.998</v>
      </c>
      <c r="K20" s="3">
        <v>0</v>
      </c>
      <c r="L20" s="3">
        <v>0.998</v>
      </c>
      <c r="M20" s="3">
        <v>0</v>
      </c>
    </row>
    <row r="21" spans="1:13" ht="18">
      <c r="A21" s="3" t="s">
        <v>185</v>
      </c>
      <c r="B21" s="3">
        <v>0.999</v>
      </c>
      <c r="C21" s="3">
        <v>0</v>
      </c>
      <c r="D21" s="3">
        <v>1</v>
      </c>
      <c r="E21" s="3">
        <v>0</v>
      </c>
      <c r="F21" s="3">
        <v>1</v>
      </c>
      <c r="G21" s="3">
        <v>0</v>
      </c>
      <c r="H21" s="3">
        <v>1</v>
      </c>
      <c r="I21" s="3">
        <v>0</v>
      </c>
      <c r="J21" s="3">
        <v>1</v>
      </c>
      <c r="K21" s="3">
        <v>0</v>
      </c>
      <c r="L21" s="3">
        <v>1</v>
      </c>
      <c r="M21" s="3">
        <v>0</v>
      </c>
    </row>
    <row r="22" spans="1:13" ht="18">
      <c r="A22" s="3" t="s">
        <v>186</v>
      </c>
      <c r="B22" s="3">
        <v>0.97799999999999998</v>
      </c>
      <c r="C22" s="3">
        <v>3.5000000000000003E-2</v>
      </c>
      <c r="D22" s="3">
        <v>0.97199999999999998</v>
      </c>
      <c r="E22" s="3">
        <v>5.8999999999999997E-2</v>
      </c>
      <c r="F22" s="3">
        <v>0.92700000000000005</v>
      </c>
      <c r="G22" s="3">
        <v>0.09</v>
      </c>
      <c r="H22" s="3">
        <v>0.94599999999999995</v>
      </c>
      <c r="I22" s="3">
        <v>7.4999999999999997E-2</v>
      </c>
      <c r="J22" s="3">
        <v>0.96199999999999997</v>
      </c>
      <c r="K22" s="3">
        <v>9.0999999999999998E-2</v>
      </c>
      <c r="L22" s="3">
        <v>0.999</v>
      </c>
      <c r="M22" s="3">
        <v>2E-3</v>
      </c>
    </row>
    <row r="23" spans="1:13" ht="18">
      <c r="A23" s="3" t="s">
        <v>187</v>
      </c>
      <c r="B23" s="3">
        <v>0.99199999999999999</v>
      </c>
      <c r="C23" s="3">
        <v>1E-3</v>
      </c>
      <c r="D23" s="3">
        <v>0.995</v>
      </c>
      <c r="E23" s="3">
        <v>1E-3</v>
      </c>
      <c r="F23" s="3">
        <v>0.995</v>
      </c>
      <c r="G23" s="3">
        <v>1E-3</v>
      </c>
      <c r="H23" s="3">
        <v>0.996</v>
      </c>
      <c r="I23" s="3">
        <v>1E-3</v>
      </c>
      <c r="J23" s="3">
        <v>0.996</v>
      </c>
      <c r="K23" s="3">
        <v>1E-3</v>
      </c>
      <c r="L23" s="3">
        <v>0.997</v>
      </c>
      <c r="M23" s="3">
        <v>1E-3</v>
      </c>
    </row>
    <row r="24" spans="1:13" ht="18">
      <c r="A24" s="3" t="s">
        <v>188</v>
      </c>
      <c r="B24" s="3">
        <v>0.999</v>
      </c>
      <c r="C24" s="3">
        <v>1E-3</v>
      </c>
      <c r="D24" s="3">
        <v>1</v>
      </c>
      <c r="E24" s="3">
        <v>0</v>
      </c>
      <c r="F24" s="3">
        <v>1</v>
      </c>
      <c r="G24" s="3">
        <v>0</v>
      </c>
      <c r="H24" s="3">
        <v>1</v>
      </c>
      <c r="I24" s="3">
        <v>0</v>
      </c>
      <c r="J24" s="3">
        <v>1</v>
      </c>
      <c r="K24" s="3">
        <v>0</v>
      </c>
      <c r="L24" s="3">
        <v>1</v>
      </c>
      <c r="M24" s="3">
        <v>0</v>
      </c>
    </row>
    <row r="25" spans="1:13" ht="18">
      <c r="A25" s="3" t="s">
        <v>189</v>
      </c>
      <c r="B25" s="3">
        <v>1</v>
      </c>
      <c r="C25" s="3">
        <v>1E-3</v>
      </c>
      <c r="D25" s="3">
        <v>1</v>
      </c>
      <c r="E25" s="3">
        <v>0</v>
      </c>
      <c r="F25" s="3">
        <v>1</v>
      </c>
      <c r="G25" s="3">
        <v>0</v>
      </c>
      <c r="H25" s="3">
        <v>1</v>
      </c>
      <c r="I25" s="3">
        <v>0</v>
      </c>
      <c r="J25" s="3">
        <v>1</v>
      </c>
      <c r="K25" s="3">
        <v>0</v>
      </c>
      <c r="L25" s="3">
        <v>1</v>
      </c>
      <c r="M25" s="3">
        <v>0</v>
      </c>
    </row>
    <row r="26" spans="1:13" ht="18">
      <c r="A26" s="3" t="s">
        <v>190</v>
      </c>
      <c r="B26" s="3">
        <v>1</v>
      </c>
      <c r="C26" s="3">
        <v>1E-3</v>
      </c>
      <c r="D26" s="3">
        <v>1</v>
      </c>
      <c r="E26" s="3">
        <v>0</v>
      </c>
      <c r="F26" s="3">
        <v>1</v>
      </c>
      <c r="G26" s="3">
        <v>0</v>
      </c>
      <c r="H26" s="3">
        <v>1</v>
      </c>
      <c r="I26" s="3">
        <v>0</v>
      </c>
      <c r="J26" s="3">
        <v>1</v>
      </c>
      <c r="K26" s="3">
        <v>0</v>
      </c>
      <c r="L26" s="3">
        <v>1</v>
      </c>
      <c r="M26" s="3">
        <v>0</v>
      </c>
    </row>
    <row r="27" spans="1:13" ht="18">
      <c r="A27" s="3" t="s">
        <v>191</v>
      </c>
      <c r="B27" s="3">
        <v>0.999</v>
      </c>
      <c r="C27" s="3">
        <v>1E-3</v>
      </c>
      <c r="D27" s="3">
        <v>1</v>
      </c>
      <c r="E27" s="3">
        <v>0</v>
      </c>
      <c r="F27" s="3">
        <v>1</v>
      </c>
      <c r="G27" s="3">
        <v>0</v>
      </c>
      <c r="H27" s="3">
        <v>1</v>
      </c>
      <c r="I27" s="3">
        <v>0</v>
      </c>
      <c r="J27" s="3">
        <v>1</v>
      </c>
      <c r="K27" s="3">
        <v>0</v>
      </c>
      <c r="L27" s="3">
        <v>1</v>
      </c>
      <c r="M27" s="3">
        <v>0</v>
      </c>
    </row>
    <row r="28" spans="1:13" ht="18">
      <c r="A28" s="3" t="s">
        <v>192</v>
      </c>
      <c r="B28" s="3">
        <v>0.996</v>
      </c>
      <c r="C28" s="3">
        <v>0</v>
      </c>
      <c r="D28" s="3">
        <v>0.997</v>
      </c>
      <c r="E28" s="3">
        <v>0</v>
      </c>
      <c r="F28" s="3">
        <v>0.997</v>
      </c>
      <c r="G28" s="3">
        <v>0</v>
      </c>
      <c r="H28" s="3">
        <v>0.998</v>
      </c>
      <c r="I28" s="3">
        <v>0</v>
      </c>
      <c r="J28" s="3">
        <v>0.998</v>
      </c>
      <c r="K28" s="3">
        <v>0</v>
      </c>
      <c r="L28" s="3">
        <v>0.998</v>
      </c>
      <c r="M28" s="3">
        <v>0</v>
      </c>
    </row>
    <row r="29" spans="1:13" ht="18">
      <c r="A29" s="3" t="s">
        <v>193</v>
      </c>
      <c r="B29" s="3">
        <v>0.99399999999999999</v>
      </c>
      <c r="C29" s="3">
        <v>2E-3</v>
      </c>
      <c r="D29" s="3">
        <v>0.99399999999999999</v>
      </c>
      <c r="E29" s="3">
        <v>3.0000000000000001E-3</v>
      </c>
      <c r="F29" s="3">
        <v>0.996</v>
      </c>
      <c r="G29" s="3">
        <v>2E-3</v>
      </c>
      <c r="H29" s="3">
        <v>0.995</v>
      </c>
      <c r="I29" s="3">
        <v>1E-3</v>
      </c>
      <c r="J29" s="3">
        <v>0.995</v>
      </c>
      <c r="K29" s="3">
        <v>2E-3</v>
      </c>
      <c r="L29" s="3">
        <v>0.995</v>
      </c>
      <c r="M29" s="3">
        <v>2E-3</v>
      </c>
    </row>
    <row r="30" spans="1:13" ht="18">
      <c r="A30" s="3" t="s">
        <v>194</v>
      </c>
      <c r="B30" s="3">
        <v>0.99299999999999999</v>
      </c>
      <c r="C30" s="3">
        <v>1E-3</v>
      </c>
      <c r="D30" s="3">
        <v>0.99399999999999999</v>
      </c>
      <c r="E30" s="3">
        <v>1E-3</v>
      </c>
      <c r="F30" s="3">
        <v>0.99399999999999999</v>
      </c>
      <c r="G30" s="3">
        <v>2E-3</v>
      </c>
      <c r="H30" s="3">
        <v>0.995</v>
      </c>
      <c r="I30" s="3">
        <v>1E-3</v>
      </c>
      <c r="J30" s="3">
        <v>0.995</v>
      </c>
      <c r="K30" s="3">
        <v>2E-3</v>
      </c>
      <c r="L30" s="3">
        <v>0.996</v>
      </c>
      <c r="M30" s="3">
        <v>1E-3</v>
      </c>
    </row>
    <row r="31" spans="1:13" ht="18">
      <c r="A31" s="3" t="s">
        <v>195</v>
      </c>
      <c r="B31" s="3">
        <v>0.98499999999999999</v>
      </c>
      <c r="C31" s="3">
        <v>2.9000000000000001E-2</v>
      </c>
      <c r="D31" s="3">
        <v>0.98499999999999999</v>
      </c>
      <c r="E31" s="3">
        <v>0.02</v>
      </c>
      <c r="F31" s="3">
        <v>0.999</v>
      </c>
      <c r="G31" s="3">
        <v>3.0000000000000001E-3</v>
      </c>
      <c r="H31" s="3">
        <v>1</v>
      </c>
      <c r="I31" s="3">
        <v>0</v>
      </c>
      <c r="J31" s="3">
        <v>0.89</v>
      </c>
      <c r="K31" s="3">
        <v>0.17199999999999999</v>
      </c>
      <c r="L31" s="3">
        <v>0.997</v>
      </c>
      <c r="M31" s="3">
        <v>5.0000000000000001E-3</v>
      </c>
    </row>
    <row r="32" spans="1:13" ht="18">
      <c r="A32" s="3" t="s">
        <v>196</v>
      </c>
      <c r="B32" s="3">
        <v>0.99399999999999999</v>
      </c>
      <c r="C32" s="3">
        <v>1E-3</v>
      </c>
      <c r="D32" s="3">
        <v>0.98799999999999999</v>
      </c>
      <c r="E32" s="3">
        <v>8.0000000000000002E-3</v>
      </c>
      <c r="F32" s="3">
        <v>0.996</v>
      </c>
      <c r="G32" s="3">
        <v>1E-3</v>
      </c>
      <c r="H32" s="3">
        <v>0.99399999999999999</v>
      </c>
      <c r="I32" s="3">
        <v>5.0000000000000001E-3</v>
      </c>
      <c r="J32" s="3">
        <v>0.98499999999999999</v>
      </c>
      <c r="K32" s="3">
        <v>2.1000000000000001E-2</v>
      </c>
      <c r="L32" s="3">
        <v>0.99199999999999999</v>
      </c>
      <c r="M32" s="3">
        <v>8.0000000000000002E-3</v>
      </c>
    </row>
    <row r="33" spans="1:13" ht="18">
      <c r="A33" s="3" t="s">
        <v>197</v>
      </c>
      <c r="B33" s="3">
        <v>0.95399999999999996</v>
      </c>
      <c r="C33" s="3">
        <v>6.0999999999999999E-2</v>
      </c>
      <c r="D33" s="3">
        <v>0.996</v>
      </c>
      <c r="E33" s="3">
        <v>2E-3</v>
      </c>
      <c r="F33" s="3">
        <v>0.97799999999999998</v>
      </c>
      <c r="G33" s="3">
        <v>4.8000000000000001E-2</v>
      </c>
      <c r="H33" s="3">
        <v>0.99399999999999999</v>
      </c>
      <c r="I33" s="3">
        <v>7.0000000000000001E-3</v>
      </c>
      <c r="J33" s="3">
        <v>0.996</v>
      </c>
      <c r="K33" s="3">
        <v>4.0000000000000001E-3</v>
      </c>
      <c r="L33" s="3">
        <v>0.97899999999999998</v>
      </c>
      <c r="M33" s="3">
        <v>4.8000000000000001E-2</v>
      </c>
    </row>
    <row r="34" spans="1:13" ht="18">
      <c r="A34" s="3" t="s">
        <v>198</v>
      </c>
      <c r="B34" s="3">
        <v>0.996</v>
      </c>
      <c r="C34" s="3">
        <v>2E-3</v>
      </c>
      <c r="D34" s="3">
        <v>0.997</v>
      </c>
      <c r="E34" s="3">
        <v>2E-3</v>
      </c>
      <c r="F34" s="3">
        <v>0.997</v>
      </c>
      <c r="G34" s="3">
        <v>1E-3</v>
      </c>
      <c r="H34" s="3">
        <v>0.998</v>
      </c>
      <c r="I34" s="3">
        <v>1E-3</v>
      </c>
      <c r="J34" s="3">
        <v>0.998</v>
      </c>
      <c r="K34" s="3">
        <v>1E-3</v>
      </c>
      <c r="L34" s="3">
        <v>0.998</v>
      </c>
      <c r="M34" s="3">
        <v>1E-3</v>
      </c>
    </row>
    <row r="35" spans="1:13" ht="18">
      <c r="A35" s="3" t="s">
        <v>199</v>
      </c>
      <c r="B35" s="3">
        <v>0.98099999999999998</v>
      </c>
      <c r="C35" s="3">
        <v>3.0000000000000001E-3</v>
      </c>
      <c r="D35" s="3">
        <v>0.98699999999999999</v>
      </c>
      <c r="E35" s="3">
        <v>1E-3</v>
      </c>
      <c r="F35" s="3">
        <v>0.98899999999999999</v>
      </c>
      <c r="G35" s="3">
        <v>1E-3</v>
      </c>
      <c r="H35" s="3">
        <v>0.99099999999999999</v>
      </c>
      <c r="I35" s="3">
        <v>1E-3</v>
      </c>
      <c r="J35" s="3">
        <v>0.99099999999999999</v>
      </c>
      <c r="K35" s="3">
        <v>3.0000000000000001E-3</v>
      </c>
      <c r="L35" s="3">
        <v>0.99199999999999999</v>
      </c>
      <c r="M35" s="3">
        <v>2E-3</v>
      </c>
    </row>
    <row r="36" spans="1:13" ht="18">
      <c r="A36" s="3" t="s">
        <v>200</v>
      </c>
      <c r="B36" s="3">
        <v>0.99399999999999999</v>
      </c>
      <c r="C36" s="3">
        <v>1E-3</v>
      </c>
      <c r="D36" s="3">
        <v>0.996</v>
      </c>
      <c r="E36" s="3">
        <v>0</v>
      </c>
      <c r="F36" s="3">
        <v>0.997</v>
      </c>
      <c r="G36" s="3">
        <v>0</v>
      </c>
      <c r="H36" s="3">
        <v>0.997</v>
      </c>
      <c r="I36" s="3">
        <v>1E-3</v>
      </c>
      <c r="J36" s="3">
        <v>0.997</v>
      </c>
      <c r="K36" s="3">
        <v>1E-3</v>
      </c>
      <c r="L36" s="3">
        <v>0.997</v>
      </c>
      <c r="M36" s="3">
        <v>0</v>
      </c>
    </row>
    <row r="37" spans="1:13" ht="18">
      <c r="A37" s="12" t="s">
        <v>201</v>
      </c>
      <c r="B37" s="3">
        <v>0.998</v>
      </c>
      <c r="C37" s="3">
        <v>0</v>
      </c>
      <c r="D37" s="3">
        <v>0.999</v>
      </c>
      <c r="E37" s="3">
        <v>0</v>
      </c>
      <c r="F37" s="3">
        <v>0.999</v>
      </c>
      <c r="G37" s="3">
        <v>0</v>
      </c>
      <c r="H37" s="3">
        <v>0.999</v>
      </c>
      <c r="I37" s="3">
        <v>0</v>
      </c>
      <c r="J37" s="3">
        <v>0.999</v>
      </c>
      <c r="K37" s="3">
        <v>0</v>
      </c>
      <c r="L37" s="3">
        <v>1</v>
      </c>
      <c r="M37" s="3">
        <v>0</v>
      </c>
    </row>
    <row r="38" spans="1:13" ht="18">
      <c r="A38" s="12" t="s">
        <v>202</v>
      </c>
      <c r="B38" s="3">
        <v>0.98499999999999999</v>
      </c>
      <c r="C38" s="3">
        <v>1E-3</v>
      </c>
      <c r="D38" s="3">
        <v>0.98699999999999999</v>
      </c>
      <c r="E38" s="3">
        <v>2E-3</v>
      </c>
      <c r="F38" s="3">
        <v>0.98899999999999999</v>
      </c>
      <c r="G38" s="3">
        <v>1E-3</v>
      </c>
      <c r="H38" s="3">
        <v>0.98899999999999999</v>
      </c>
      <c r="I38" s="3">
        <v>1E-3</v>
      </c>
      <c r="J38" s="3">
        <v>0.98799999999999999</v>
      </c>
      <c r="K38" s="3">
        <v>3.0000000000000001E-3</v>
      </c>
      <c r="L38" s="3">
        <v>0.99</v>
      </c>
      <c r="M38" s="3">
        <v>1E-3</v>
      </c>
    </row>
    <row r="39" spans="1:13" ht="18">
      <c r="A39" s="3" t="s">
        <v>203</v>
      </c>
      <c r="B39" s="3">
        <v>0.998</v>
      </c>
      <c r="C39" s="3">
        <v>0</v>
      </c>
      <c r="D39" s="3">
        <v>0.998</v>
      </c>
      <c r="E39" s="3">
        <v>0</v>
      </c>
      <c r="F39" s="3">
        <v>0.998</v>
      </c>
      <c r="G39" s="3">
        <v>0</v>
      </c>
      <c r="H39" s="3">
        <v>0.998</v>
      </c>
      <c r="I39" s="3">
        <v>0</v>
      </c>
      <c r="J39" s="3">
        <v>0.998</v>
      </c>
      <c r="K39" s="3">
        <v>0</v>
      </c>
      <c r="L39" s="3">
        <v>0.998</v>
      </c>
      <c r="M39" s="3">
        <v>1E-3</v>
      </c>
    </row>
    <row r="40" spans="1:13" ht="18">
      <c r="A40" s="3" t="s">
        <v>204</v>
      </c>
      <c r="B40" s="3">
        <v>0.99099999999999999</v>
      </c>
      <c r="C40" s="3">
        <v>1E-3</v>
      </c>
      <c r="D40" s="3">
        <v>0.99099999999999999</v>
      </c>
      <c r="E40" s="3">
        <v>4.0000000000000001E-3</v>
      </c>
      <c r="F40" s="3">
        <v>0.99299999999999999</v>
      </c>
      <c r="G40" s="3">
        <v>1E-3</v>
      </c>
      <c r="H40" s="3">
        <v>0.99299999999999999</v>
      </c>
      <c r="I40" s="3">
        <v>1E-3</v>
      </c>
      <c r="J40" s="3">
        <v>0.99299999999999999</v>
      </c>
      <c r="K40" s="3">
        <v>2E-3</v>
      </c>
      <c r="L40" s="3">
        <v>0.99399999999999999</v>
      </c>
      <c r="M40" s="3">
        <v>1E-3</v>
      </c>
    </row>
    <row r="41" spans="1:13" ht="18">
      <c r="A41" s="3" t="s">
        <v>205</v>
      </c>
      <c r="B41" s="3">
        <v>0.98599999999999999</v>
      </c>
      <c r="C41" s="3">
        <v>6.0000000000000001E-3</v>
      </c>
      <c r="D41" s="3">
        <v>0.98899999999999999</v>
      </c>
      <c r="E41" s="3">
        <v>2E-3</v>
      </c>
      <c r="F41" s="3">
        <v>0.99099999999999999</v>
      </c>
      <c r="G41" s="3">
        <v>1E-3</v>
      </c>
      <c r="H41" s="3">
        <v>0.99199999999999999</v>
      </c>
      <c r="I41" s="3">
        <v>1E-3</v>
      </c>
      <c r="J41" s="3">
        <v>0.99099999999999999</v>
      </c>
      <c r="K41" s="3">
        <v>2E-3</v>
      </c>
      <c r="L41" s="3">
        <v>0.99099999999999999</v>
      </c>
      <c r="M41" s="3">
        <v>1E-3</v>
      </c>
    </row>
    <row r="42" spans="1:13" ht="18">
      <c r="A42" s="3" t="s">
        <v>206</v>
      </c>
      <c r="B42" s="3">
        <v>0.998</v>
      </c>
      <c r="C42" s="3">
        <v>1E-3</v>
      </c>
      <c r="D42" s="3">
        <v>0.998</v>
      </c>
      <c r="E42" s="3">
        <v>1E-3</v>
      </c>
      <c r="F42" s="3">
        <v>0.999</v>
      </c>
      <c r="G42" s="3">
        <v>0</v>
      </c>
      <c r="H42" s="3">
        <v>0.999</v>
      </c>
      <c r="I42" s="3">
        <v>0</v>
      </c>
      <c r="J42" s="3">
        <v>0.999</v>
      </c>
      <c r="K42" s="3">
        <v>0</v>
      </c>
      <c r="L42" s="3">
        <v>0.999</v>
      </c>
      <c r="M42" s="3">
        <v>0</v>
      </c>
    </row>
    <row r="43" spans="1:13" ht="18">
      <c r="A43" s="3" t="s">
        <v>207</v>
      </c>
      <c r="B43" s="3">
        <v>0.997</v>
      </c>
      <c r="C43" s="3">
        <v>2E-3</v>
      </c>
      <c r="D43" s="3">
        <v>0.999</v>
      </c>
      <c r="E43" s="3">
        <v>2E-3</v>
      </c>
      <c r="F43" s="3">
        <v>1</v>
      </c>
      <c r="G43" s="3">
        <v>0</v>
      </c>
      <c r="H43" s="3">
        <v>1</v>
      </c>
      <c r="I43" s="3">
        <v>0</v>
      </c>
      <c r="J43" s="3">
        <v>0.999</v>
      </c>
      <c r="K43" s="3">
        <v>2E-3</v>
      </c>
      <c r="L43" s="3">
        <v>1</v>
      </c>
      <c r="M43" s="3">
        <v>0</v>
      </c>
    </row>
    <row r="44" spans="1:13" ht="18">
      <c r="A44" s="12" t="s">
        <v>208</v>
      </c>
      <c r="B44" s="3">
        <v>0.99099999999999999</v>
      </c>
      <c r="C44" s="3">
        <v>4.0000000000000001E-3</v>
      </c>
      <c r="D44" s="3">
        <v>0.99199999999999999</v>
      </c>
      <c r="E44" s="3">
        <v>6.0000000000000001E-3</v>
      </c>
      <c r="F44" s="3">
        <v>0.998</v>
      </c>
      <c r="G44" s="3">
        <v>3.0000000000000001E-3</v>
      </c>
      <c r="H44" s="3">
        <v>0.999</v>
      </c>
      <c r="I44" s="3">
        <v>2E-3</v>
      </c>
      <c r="J44" s="3">
        <v>0.999</v>
      </c>
      <c r="K44" s="3">
        <v>1E-3</v>
      </c>
      <c r="L44" s="3">
        <v>1</v>
      </c>
      <c r="M44" s="3">
        <v>1E-3</v>
      </c>
    </row>
    <row r="45" spans="1:13" ht="18">
      <c r="A45" s="3" t="s">
        <v>68</v>
      </c>
      <c r="B45" s="3">
        <v>0.999</v>
      </c>
      <c r="C45" s="3">
        <v>0</v>
      </c>
      <c r="D45" s="3">
        <v>0.999</v>
      </c>
      <c r="E45" s="3">
        <v>0</v>
      </c>
      <c r="F45" s="3">
        <v>0.999</v>
      </c>
      <c r="G45" s="3">
        <v>0</v>
      </c>
      <c r="H45" s="3">
        <v>0.999</v>
      </c>
      <c r="I45" s="3">
        <v>0</v>
      </c>
      <c r="J45" s="3">
        <v>0.999</v>
      </c>
      <c r="K45" s="3">
        <v>0</v>
      </c>
      <c r="L45" s="3">
        <v>0.999</v>
      </c>
      <c r="M45" s="3">
        <v>0</v>
      </c>
    </row>
    <row r="46" spans="1:13" ht="18">
      <c r="A46" s="3" t="s">
        <v>234</v>
      </c>
      <c r="B46" s="15">
        <f>AVERAGE(B4:B45)</f>
        <v>0.99295238095238059</v>
      </c>
      <c r="C46" s="15"/>
      <c r="D46" s="15">
        <f>ROUND(AVERAGE(D4:D45),3)</f>
        <v>0.995</v>
      </c>
      <c r="E46" s="15"/>
      <c r="F46" s="15">
        <f>AVERAGE(F4:F45)</f>
        <v>0.99445238095238098</v>
      </c>
      <c r="G46" s="15"/>
      <c r="H46" s="15">
        <f>ROUND(AVERAGE(H4:H45),3)</f>
        <v>0.995</v>
      </c>
      <c r="I46" s="15"/>
      <c r="J46" s="15">
        <f>AVERAGE(J4:J45)</f>
        <v>0.99297619047619079</v>
      </c>
      <c r="K46" s="15"/>
      <c r="L46" s="15">
        <f>AVERAGE(L4:L45)</f>
        <v>0.99640476190476213</v>
      </c>
      <c r="M46" s="15"/>
    </row>
    <row r="47" spans="1:13" ht="18"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</row>
    <row r="48" spans="1:13">
      <c r="D48" s="17"/>
      <c r="E48" s="17"/>
    </row>
    <row r="49" spans="4:5">
      <c r="D49" s="17"/>
      <c r="E49" s="17"/>
    </row>
    <row r="50" spans="4:5">
      <c r="D50" s="17"/>
      <c r="E50" s="17"/>
    </row>
    <row r="51" spans="4:5">
      <c r="D51" s="17"/>
      <c r="E51" s="17"/>
    </row>
    <row r="52" spans="4:5">
      <c r="D52" s="17"/>
      <c r="E52" s="17"/>
    </row>
    <row r="53" spans="4:5">
      <c r="D53" s="17"/>
      <c r="E53" s="17"/>
    </row>
    <row r="54" spans="4:5">
      <c r="D54" s="17"/>
      <c r="E54" s="17"/>
    </row>
    <row r="55" spans="4:5">
      <c r="D55" s="17"/>
      <c r="E55" s="17"/>
    </row>
    <row r="56" spans="4:5">
      <c r="D56" s="17"/>
      <c r="E56" s="17"/>
    </row>
    <row r="57" spans="4:5">
      <c r="D57" s="17"/>
      <c r="E57" s="17"/>
    </row>
    <row r="58" spans="4:5">
      <c r="D58" s="17"/>
      <c r="E58" s="17"/>
    </row>
    <row r="59" spans="4:5">
      <c r="D59" s="17"/>
      <c r="E59" s="17"/>
    </row>
    <row r="60" spans="4:5">
      <c r="D60" s="17"/>
      <c r="E60" s="17"/>
    </row>
    <row r="61" spans="4:5">
      <c r="D61" s="17"/>
      <c r="E61" s="17"/>
    </row>
    <row r="62" spans="4:5">
      <c r="D62" s="17"/>
      <c r="E62" s="17"/>
    </row>
    <row r="63" spans="4:5">
      <c r="D63" s="17"/>
      <c r="E63" s="17"/>
    </row>
    <row r="64" spans="4:5">
      <c r="D64" s="17"/>
      <c r="E64" s="17"/>
    </row>
    <row r="65" spans="4:5">
      <c r="D65" s="17"/>
      <c r="E65" s="17"/>
    </row>
    <row r="66" spans="4:5">
      <c r="D66" s="17"/>
      <c r="E66" s="17"/>
    </row>
    <row r="67" spans="4:5">
      <c r="D67" s="17"/>
      <c r="E67" s="17"/>
    </row>
    <row r="68" spans="4:5">
      <c r="D68" s="17"/>
      <c r="E68" s="17"/>
    </row>
    <row r="69" spans="4:5">
      <c r="D69" s="17"/>
      <c r="E69" s="17"/>
    </row>
    <row r="70" spans="4:5">
      <c r="D70" s="17"/>
      <c r="E70" s="17"/>
    </row>
    <row r="71" spans="4:5">
      <c r="D71" s="17"/>
      <c r="E71" s="17"/>
    </row>
    <row r="72" spans="4:5">
      <c r="D72" s="17"/>
      <c r="E72" s="17"/>
    </row>
    <row r="73" spans="4:5">
      <c r="D73" s="17"/>
      <c r="E73" s="17"/>
    </row>
    <row r="74" spans="4:5">
      <c r="D74" s="17"/>
      <c r="E74" s="17"/>
    </row>
    <row r="75" spans="4:5">
      <c r="D75" s="17"/>
      <c r="E75" s="17"/>
    </row>
    <row r="76" spans="4:5">
      <c r="D76" s="17"/>
      <c r="E76" s="17"/>
    </row>
    <row r="77" spans="4:5">
      <c r="D77" s="17"/>
      <c r="E77" s="17"/>
    </row>
    <row r="78" spans="4:5">
      <c r="D78" s="17"/>
      <c r="E78" s="17"/>
    </row>
    <row r="79" spans="4:5">
      <c r="D79" s="17"/>
      <c r="E79" s="17"/>
    </row>
  </sheetData>
  <mergeCells count="7">
    <mergeCell ref="L2:M2"/>
    <mergeCell ref="J2:K2"/>
    <mergeCell ref="A2:A3"/>
    <mergeCell ref="B2:C2"/>
    <mergeCell ref="D2:E2"/>
    <mergeCell ref="F2:G2"/>
    <mergeCell ref="H2:I2"/>
  </mergeCells>
  <phoneticPr fontId="1" type="noConversion"/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8B8A9-CE1F-E44C-8071-CA3F4B3372D3}">
  <dimension ref="A1:BE48"/>
  <sheetViews>
    <sheetView zoomScaleNormal="100" workbookViewId="0"/>
  </sheetViews>
  <sheetFormatPr baseColWidth="10" defaultRowHeight="16"/>
  <cols>
    <col min="1" max="1" width="18.83203125" customWidth="1"/>
    <col min="2" max="5" width="16.1640625" bestFit="1" customWidth="1"/>
    <col min="6" max="7" width="14.33203125" customWidth="1"/>
    <col min="8" max="11" width="14.1640625" customWidth="1"/>
    <col min="12" max="13" width="13.5" customWidth="1"/>
    <col min="14" max="15" width="14.83203125" customWidth="1"/>
  </cols>
  <sheetData>
    <row r="1" spans="1:57" ht="58" customHeight="1">
      <c r="A1" s="2" t="s">
        <v>235</v>
      </c>
      <c r="B1" s="2"/>
      <c r="C1" s="2"/>
      <c r="D1" s="2"/>
      <c r="E1" s="2"/>
      <c r="F1" s="2"/>
      <c r="G1" s="2"/>
      <c r="H1" s="4"/>
      <c r="I1" s="4"/>
      <c r="J1" s="4"/>
      <c r="K1" s="4"/>
      <c r="L1" s="4"/>
      <c r="M1" s="4"/>
      <c r="N1" s="4"/>
      <c r="O1" s="4"/>
    </row>
    <row r="2" spans="1:57" s="8" customFormat="1" ht="22">
      <c r="A2" s="20" t="s">
        <v>0</v>
      </c>
      <c r="B2" s="19" t="s">
        <v>155</v>
      </c>
      <c r="C2" s="19"/>
      <c r="D2" s="19" t="s">
        <v>73</v>
      </c>
      <c r="E2" s="19"/>
      <c r="F2" s="19" t="s">
        <v>163</v>
      </c>
      <c r="G2" s="19"/>
      <c r="H2" s="19" t="s">
        <v>164</v>
      </c>
      <c r="I2" s="19"/>
      <c r="J2" s="19" t="s">
        <v>212</v>
      </c>
      <c r="K2" s="19"/>
      <c r="L2" s="19" t="s">
        <v>165</v>
      </c>
      <c r="M2" s="19"/>
      <c r="N2" s="19" t="s">
        <v>166</v>
      </c>
      <c r="O2" s="19"/>
    </row>
    <row r="3" spans="1:57" s="8" customFormat="1" ht="22">
      <c r="A3" s="20"/>
      <c r="B3" s="6" t="s">
        <v>70</v>
      </c>
      <c r="C3" s="6" t="s">
        <v>72</v>
      </c>
      <c r="D3" s="6" t="s">
        <v>70</v>
      </c>
      <c r="E3" s="6" t="s">
        <v>72</v>
      </c>
      <c r="F3" s="6" t="s">
        <v>70</v>
      </c>
      <c r="G3" s="6" t="s">
        <v>72</v>
      </c>
      <c r="H3" s="6" t="s">
        <v>70</v>
      </c>
      <c r="I3" s="6" t="s">
        <v>72</v>
      </c>
      <c r="J3" s="6" t="s">
        <v>70</v>
      </c>
      <c r="K3" s="6" t="s">
        <v>72</v>
      </c>
      <c r="L3" s="6" t="s">
        <v>70</v>
      </c>
      <c r="M3" s="6" t="s">
        <v>72</v>
      </c>
      <c r="N3" s="6" t="s">
        <v>70</v>
      </c>
      <c r="O3" s="6" t="s">
        <v>72</v>
      </c>
    </row>
    <row r="4" spans="1:57" s="9" customFormat="1" ht="18" customHeight="1">
      <c r="A4" s="3" t="s">
        <v>168</v>
      </c>
      <c r="B4" s="3">
        <v>0.81699999999999995</v>
      </c>
      <c r="C4" s="3">
        <v>4.0000000000000001E-3</v>
      </c>
      <c r="D4" s="3">
        <v>0.96499999999999997</v>
      </c>
      <c r="E4" s="3">
        <v>2E-3</v>
      </c>
      <c r="F4" s="3">
        <v>0.995</v>
      </c>
      <c r="G4" s="3">
        <v>3.0000000000000001E-3</v>
      </c>
      <c r="H4" s="3">
        <v>0.98099999999999998</v>
      </c>
      <c r="I4" s="3">
        <v>2.1999999999999999E-2</v>
      </c>
      <c r="J4" s="3">
        <v>0.98599999999999999</v>
      </c>
      <c r="K4" s="3">
        <v>1.0999999999999999E-2</v>
      </c>
      <c r="L4" s="3">
        <v>0.99099999999999999</v>
      </c>
      <c r="M4" s="3">
        <v>3.0000000000000001E-3</v>
      </c>
      <c r="N4" s="3">
        <v>0.92900000000000005</v>
      </c>
      <c r="O4" s="3">
        <v>0.186</v>
      </c>
      <c r="P4" s="3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</row>
    <row r="5" spans="1:57" s="9" customFormat="1" ht="18">
      <c r="A5" s="3" t="s">
        <v>169</v>
      </c>
      <c r="B5" s="3">
        <v>0.96</v>
      </c>
      <c r="C5" s="3">
        <v>7.0000000000000001E-3</v>
      </c>
      <c r="D5" s="3">
        <v>0.99299999999999999</v>
      </c>
      <c r="E5" s="3">
        <v>1E-3</v>
      </c>
      <c r="F5" s="3">
        <v>0.995</v>
      </c>
      <c r="G5" s="3">
        <v>5.0000000000000001E-3</v>
      </c>
      <c r="H5" s="3">
        <v>0.998</v>
      </c>
      <c r="I5" s="3">
        <v>2E-3</v>
      </c>
      <c r="J5" s="3">
        <v>0.99299999999999999</v>
      </c>
      <c r="K5" s="3">
        <v>1.2999999999999999E-2</v>
      </c>
      <c r="L5" s="3">
        <v>0.997</v>
      </c>
      <c r="M5" s="3">
        <v>3.0000000000000001E-3</v>
      </c>
      <c r="N5" s="3">
        <v>0.99099999999999999</v>
      </c>
      <c r="O5" s="3">
        <v>6.0000000000000001E-3</v>
      </c>
      <c r="P5" s="3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</row>
    <row r="6" spans="1:57" s="9" customFormat="1" ht="18">
      <c r="A6" s="3" t="s">
        <v>170</v>
      </c>
      <c r="B6" s="3">
        <v>0.88100000000000001</v>
      </c>
      <c r="C6" s="3">
        <v>8.0000000000000002E-3</v>
      </c>
      <c r="D6" s="3">
        <v>0.98699999999999999</v>
      </c>
      <c r="E6" s="3">
        <v>1E-3</v>
      </c>
      <c r="F6" s="3">
        <v>0.996</v>
      </c>
      <c r="G6" s="3">
        <v>1E-3</v>
      </c>
      <c r="H6" s="3">
        <v>0.99299999999999999</v>
      </c>
      <c r="I6" s="3">
        <v>6.0000000000000001E-3</v>
      </c>
      <c r="J6" s="3">
        <v>0.995</v>
      </c>
      <c r="K6" s="3">
        <v>1E-3</v>
      </c>
      <c r="L6" s="3">
        <v>0.99399999999999999</v>
      </c>
      <c r="M6" s="3">
        <v>4.0000000000000001E-3</v>
      </c>
      <c r="N6" s="3">
        <v>0.995</v>
      </c>
      <c r="O6" s="3">
        <v>1E-3</v>
      </c>
      <c r="P6" s="3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</row>
    <row r="7" spans="1:57" s="9" customFormat="1" ht="18">
      <c r="A7" s="3" t="s">
        <v>171</v>
      </c>
      <c r="B7" s="3">
        <v>0.92100000000000004</v>
      </c>
      <c r="C7" s="3">
        <v>1.7000000000000001E-2</v>
      </c>
      <c r="D7" s="3">
        <v>0.997</v>
      </c>
      <c r="E7" s="3">
        <v>0</v>
      </c>
      <c r="F7" s="3">
        <v>0.999</v>
      </c>
      <c r="G7" s="3">
        <v>0</v>
      </c>
      <c r="H7" s="3">
        <v>0.999</v>
      </c>
      <c r="I7" s="3">
        <v>2E-3</v>
      </c>
      <c r="J7" s="3">
        <v>0.999</v>
      </c>
      <c r="K7" s="3">
        <v>1E-3</v>
      </c>
      <c r="L7" s="3">
        <v>0.999</v>
      </c>
      <c r="M7" s="3">
        <v>1E-3</v>
      </c>
      <c r="N7" s="3">
        <v>0.999</v>
      </c>
      <c r="O7" s="3">
        <v>1E-3</v>
      </c>
      <c r="P7" s="3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</row>
    <row r="8" spans="1:57" s="9" customFormat="1" ht="18">
      <c r="A8" s="3" t="s">
        <v>172</v>
      </c>
      <c r="B8" s="3">
        <v>0.91300000000000003</v>
      </c>
      <c r="C8" s="3">
        <v>5.0000000000000001E-3</v>
      </c>
      <c r="D8" s="3">
        <v>0.998</v>
      </c>
      <c r="E8" s="3">
        <v>0</v>
      </c>
      <c r="F8" s="3">
        <v>0.999</v>
      </c>
      <c r="G8" s="3">
        <v>0</v>
      </c>
      <c r="H8" s="3">
        <v>0.999</v>
      </c>
      <c r="I8" s="3">
        <v>0</v>
      </c>
      <c r="J8" s="3">
        <v>0.999</v>
      </c>
      <c r="K8" s="3">
        <v>0</v>
      </c>
      <c r="L8" s="3">
        <v>0.998</v>
      </c>
      <c r="M8" s="3">
        <v>2E-3</v>
      </c>
      <c r="N8" s="3">
        <v>0.998</v>
      </c>
      <c r="O8" s="3">
        <v>0</v>
      </c>
      <c r="P8" s="3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</row>
    <row r="9" spans="1:57" s="9" customFormat="1" ht="18">
      <c r="A9" s="3" t="s">
        <v>173</v>
      </c>
      <c r="B9" s="3">
        <v>0.94699999999999995</v>
      </c>
      <c r="C9" s="3">
        <v>3.0000000000000001E-3</v>
      </c>
      <c r="D9" s="3">
        <v>0.996</v>
      </c>
      <c r="E9" s="3">
        <v>0</v>
      </c>
      <c r="F9" s="3">
        <v>0.998</v>
      </c>
      <c r="G9" s="3">
        <v>0</v>
      </c>
      <c r="H9" s="3">
        <v>0.998</v>
      </c>
      <c r="I9" s="3">
        <v>1E-3</v>
      </c>
      <c r="J9" s="3">
        <v>0.998</v>
      </c>
      <c r="K9" s="3">
        <v>1E-3</v>
      </c>
      <c r="L9" s="3">
        <v>0.998</v>
      </c>
      <c r="M9" s="3">
        <v>0</v>
      </c>
      <c r="N9" s="3">
        <v>0.998</v>
      </c>
      <c r="O9" s="3">
        <v>0</v>
      </c>
      <c r="P9" s="3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</row>
    <row r="10" spans="1:57" s="9" customFormat="1" ht="18">
      <c r="A10" s="3" t="s">
        <v>174</v>
      </c>
      <c r="B10" s="3">
        <v>0.73899999999999999</v>
      </c>
      <c r="C10" s="3">
        <v>7.0000000000000001E-3</v>
      </c>
      <c r="D10" s="3">
        <v>0.98899999999999999</v>
      </c>
      <c r="E10" s="3">
        <v>1E-3</v>
      </c>
      <c r="F10" s="3">
        <v>0.99199999999999999</v>
      </c>
      <c r="G10" s="3">
        <v>3.0000000000000001E-3</v>
      </c>
      <c r="H10" s="3">
        <v>0.99399999999999999</v>
      </c>
      <c r="I10" s="3">
        <v>2E-3</v>
      </c>
      <c r="J10" s="3">
        <v>0.995</v>
      </c>
      <c r="K10" s="3">
        <v>1E-3</v>
      </c>
      <c r="L10" s="3">
        <v>0.995</v>
      </c>
      <c r="M10" s="3">
        <v>1E-3</v>
      </c>
      <c r="N10" s="3">
        <v>0.997</v>
      </c>
      <c r="O10" s="3">
        <v>1E-3</v>
      </c>
      <c r="P10" s="3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</row>
    <row r="11" spans="1:57" s="9" customFormat="1" ht="18">
      <c r="A11" s="3" t="s">
        <v>175</v>
      </c>
      <c r="B11" s="3">
        <v>0.86699999999999999</v>
      </c>
      <c r="C11" s="3">
        <v>8.3000000000000004E-2</v>
      </c>
      <c r="D11" s="3">
        <v>0.998</v>
      </c>
      <c r="E11" s="3">
        <v>0</v>
      </c>
      <c r="F11" s="3">
        <v>0.999</v>
      </c>
      <c r="G11" s="3">
        <v>0</v>
      </c>
      <c r="H11" s="3">
        <v>0.998</v>
      </c>
      <c r="I11" s="3">
        <v>0</v>
      </c>
      <c r="J11" s="3">
        <v>0.998</v>
      </c>
      <c r="K11" s="3">
        <v>0</v>
      </c>
      <c r="L11" s="3">
        <v>0.997</v>
      </c>
      <c r="M11" s="3">
        <v>3.0000000000000001E-3</v>
      </c>
      <c r="N11" s="3">
        <v>0.998</v>
      </c>
      <c r="O11" s="3">
        <v>0</v>
      </c>
      <c r="P11" s="3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</row>
    <row r="12" spans="1:57" s="9" customFormat="1" ht="18">
      <c r="A12" s="3" t="s">
        <v>176</v>
      </c>
      <c r="B12" s="3">
        <v>0.96599999999999997</v>
      </c>
      <c r="C12" s="3">
        <v>2.7E-2</v>
      </c>
      <c r="D12" s="3">
        <v>1</v>
      </c>
      <c r="E12" s="3">
        <v>0</v>
      </c>
      <c r="F12" s="3">
        <v>1</v>
      </c>
      <c r="G12" s="3">
        <v>0</v>
      </c>
      <c r="H12" s="3">
        <v>1</v>
      </c>
      <c r="I12" s="3">
        <v>0</v>
      </c>
      <c r="J12" s="3">
        <v>1</v>
      </c>
      <c r="K12" s="3">
        <v>0</v>
      </c>
      <c r="L12" s="3">
        <v>1</v>
      </c>
      <c r="M12" s="3">
        <v>0</v>
      </c>
      <c r="N12" s="3">
        <v>1</v>
      </c>
      <c r="O12" s="3">
        <v>0</v>
      </c>
      <c r="P12" s="3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</row>
    <row r="13" spans="1:57" s="9" customFormat="1" ht="18">
      <c r="A13" s="3" t="s">
        <v>177</v>
      </c>
      <c r="B13" s="3">
        <v>0.98299999999999998</v>
      </c>
      <c r="C13" s="3">
        <v>4.0000000000000001E-3</v>
      </c>
      <c r="D13" s="3">
        <v>0.98899999999999999</v>
      </c>
      <c r="E13" s="3">
        <v>3.0000000000000001E-3</v>
      </c>
      <c r="F13" s="3">
        <v>0.99299999999999999</v>
      </c>
      <c r="G13" s="3">
        <v>8.0000000000000002E-3</v>
      </c>
      <c r="H13" s="3">
        <v>0.995</v>
      </c>
      <c r="I13" s="3">
        <v>2E-3</v>
      </c>
      <c r="J13" s="3">
        <v>0.997</v>
      </c>
      <c r="K13" s="3">
        <v>1E-3</v>
      </c>
      <c r="L13" s="3">
        <v>0.997</v>
      </c>
      <c r="M13" s="3">
        <v>1E-3</v>
      </c>
      <c r="N13" s="3">
        <v>0.99399999999999999</v>
      </c>
      <c r="O13" s="3">
        <v>3.0000000000000001E-3</v>
      </c>
      <c r="P13" s="3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</row>
    <row r="14" spans="1:57" s="9" customFormat="1" ht="18">
      <c r="A14" s="3" t="s">
        <v>178</v>
      </c>
      <c r="B14" s="3">
        <v>0.81299999999999994</v>
      </c>
      <c r="C14" s="3">
        <v>6.0000000000000001E-3</v>
      </c>
      <c r="D14" s="3">
        <v>0.99</v>
      </c>
      <c r="E14" s="3">
        <v>1E-3</v>
      </c>
      <c r="F14" s="3">
        <v>0.995</v>
      </c>
      <c r="G14" s="3">
        <v>1E-3</v>
      </c>
      <c r="H14" s="3">
        <v>0.99399999999999999</v>
      </c>
      <c r="I14" s="3">
        <v>1E-3</v>
      </c>
      <c r="J14" s="3">
        <v>0.99299999999999999</v>
      </c>
      <c r="K14" s="3">
        <v>1E-3</v>
      </c>
      <c r="L14" s="3">
        <v>0.99199999999999999</v>
      </c>
      <c r="M14" s="3">
        <v>1E-3</v>
      </c>
      <c r="N14" s="3">
        <v>0.99099999999999999</v>
      </c>
      <c r="O14" s="3">
        <v>1E-3</v>
      </c>
      <c r="P14" s="3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</row>
    <row r="15" spans="1:57" s="9" customFormat="1" ht="18">
      <c r="A15" s="3" t="s">
        <v>179</v>
      </c>
      <c r="B15" s="3">
        <v>0.95299999999999996</v>
      </c>
      <c r="C15" s="3">
        <v>3.7999999999999999E-2</v>
      </c>
      <c r="D15" s="3">
        <v>1</v>
      </c>
      <c r="E15" s="3">
        <v>0</v>
      </c>
      <c r="F15" s="3">
        <v>1</v>
      </c>
      <c r="G15" s="3">
        <v>0</v>
      </c>
      <c r="H15" s="3">
        <v>1</v>
      </c>
      <c r="I15" s="3">
        <v>0</v>
      </c>
      <c r="J15" s="3">
        <v>1</v>
      </c>
      <c r="K15" s="3">
        <v>0</v>
      </c>
      <c r="L15" s="3">
        <v>1</v>
      </c>
      <c r="M15" s="3">
        <v>0</v>
      </c>
      <c r="N15" s="3">
        <v>0.998</v>
      </c>
      <c r="O15" s="3">
        <v>2E-3</v>
      </c>
      <c r="P15" s="3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</row>
    <row r="16" spans="1:57" s="9" customFormat="1" ht="18">
      <c r="A16" s="3" t="s">
        <v>180</v>
      </c>
      <c r="B16" s="3">
        <v>0.97199999999999998</v>
      </c>
      <c r="C16" s="3">
        <v>2E-3</v>
      </c>
      <c r="D16" s="3">
        <v>1</v>
      </c>
      <c r="E16" s="3">
        <v>0</v>
      </c>
      <c r="F16" s="3">
        <v>1</v>
      </c>
      <c r="G16" s="3">
        <v>0</v>
      </c>
      <c r="H16" s="3">
        <v>1</v>
      </c>
      <c r="I16" s="3">
        <v>0</v>
      </c>
      <c r="J16" s="3">
        <v>1</v>
      </c>
      <c r="K16" s="3">
        <v>0</v>
      </c>
      <c r="L16" s="3">
        <v>0.999</v>
      </c>
      <c r="M16" s="3">
        <v>1E-3</v>
      </c>
      <c r="N16" s="3">
        <v>0.96699999999999997</v>
      </c>
      <c r="O16" s="3">
        <v>8.6999999999999994E-2</v>
      </c>
      <c r="P16" s="3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</row>
    <row r="17" spans="1:57" s="9" customFormat="1" ht="18">
      <c r="A17" s="3" t="s">
        <v>181</v>
      </c>
      <c r="B17" s="3">
        <v>0.97199999999999998</v>
      </c>
      <c r="C17" s="3">
        <v>6.0000000000000001E-3</v>
      </c>
      <c r="D17" s="3">
        <v>0.999</v>
      </c>
      <c r="E17" s="3">
        <v>0</v>
      </c>
      <c r="F17" s="3">
        <v>0.999</v>
      </c>
      <c r="G17" s="3">
        <v>0</v>
      </c>
      <c r="H17" s="3">
        <v>0.998</v>
      </c>
      <c r="I17" s="3">
        <v>3.0000000000000001E-3</v>
      </c>
      <c r="J17" s="3">
        <v>0.999</v>
      </c>
      <c r="K17" s="3">
        <v>0</v>
      </c>
      <c r="L17" s="3">
        <v>0.96699999999999997</v>
      </c>
      <c r="M17" s="3">
        <v>8.7999999999999995E-2</v>
      </c>
      <c r="N17" s="3">
        <v>0.999</v>
      </c>
      <c r="O17" s="3">
        <v>1E-3</v>
      </c>
      <c r="P17" s="3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</row>
    <row r="18" spans="1:57" s="9" customFormat="1" ht="18">
      <c r="A18" s="3" t="s">
        <v>182</v>
      </c>
      <c r="B18" s="3">
        <v>0.97299999999999998</v>
      </c>
      <c r="C18" s="3">
        <v>6.0000000000000001E-3</v>
      </c>
      <c r="D18" s="3">
        <v>0.999</v>
      </c>
      <c r="E18" s="3">
        <v>0</v>
      </c>
      <c r="F18" s="3">
        <v>0.999</v>
      </c>
      <c r="G18" s="3">
        <v>0</v>
      </c>
      <c r="H18" s="3">
        <v>0.999</v>
      </c>
      <c r="I18" s="3">
        <v>0</v>
      </c>
      <c r="J18" s="3">
        <v>0.999</v>
      </c>
      <c r="K18" s="3">
        <v>0</v>
      </c>
      <c r="L18" s="3">
        <v>0.999</v>
      </c>
      <c r="M18" s="3">
        <v>0</v>
      </c>
      <c r="N18" s="3">
        <v>0.999</v>
      </c>
      <c r="O18" s="3">
        <v>0</v>
      </c>
      <c r="P18" s="3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</row>
    <row r="19" spans="1:57" s="9" customFormat="1" ht="18">
      <c r="A19" s="3" t="s">
        <v>183</v>
      </c>
      <c r="B19" s="3">
        <v>0.95199999999999996</v>
      </c>
      <c r="C19" s="3">
        <v>5.0000000000000001E-3</v>
      </c>
      <c r="D19" s="3">
        <v>0.98599999999999999</v>
      </c>
      <c r="E19" s="3">
        <v>0</v>
      </c>
      <c r="F19" s="3">
        <v>0.99299999999999999</v>
      </c>
      <c r="G19" s="3">
        <v>0</v>
      </c>
      <c r="H19" s="3">
        <v>0.99299999999999999</v>
      </c>
      <c r="I19" s="3">
        <v>1E-3</v>
      </c>
      <c r="J19" s="3">
        <v>0.99399999999999999</v>
      </c>
      <c r="K19" s="3">
        <v>1E-3</v>
      </c>
      <c r="L19" s="3">
        <v>0.99299999999999999</v>
      </c>
      <c r="M19" s="3">
        <v>1E-3</v>
      </c>
      <c r="N19" s="3">
        <v>0.99099999999999999</v>
      </c>
      <c r="O19" s="3">
        <v>1E-3</v>
      </c>
      <c r="P19" s="3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</row>
    <row r="20" spans="1:57" s="9" customFormat="1" ht="18">
      <c r="A20" s="3" t="s">
        <v>184</v>
      </c>
      <c r="B20" s="3">
        <v>0.77</v>
      </c>
      <c r="C20" s="3">
        <v>1.4E-2</v>
      </c>
      <c r="D20" s="3">
        <v>0.996</v>
      </c>
      <c r="E20" s="3">
        <v>0</v>
      </c>
      <c r="F20" s="3">
        <v>0.998</v>
      </c>
      <c r="G20" s="3">
        <v>0</v>
      </c>
      <c r="H20" s="3">
        <v>0.998</v>
      </c>
      <c r="I20" s="3">
        <v>0</v>
      </c>
      <c r="J20" s="3">
        <v>0.998</v>
      </c>
      <c r="K20" s="3">
        <v>0</v>
      </c>
      <c r="L20" s="3">
        <v>0.998</v>
      </c>
      <c r="M20" s="3">
        <v>0</v>
      </c>
      <c r="N20" s="3">
        <v>0.997</v>
      </c>
      <c r="O20" s="3">
        <v>1E-3</v>
      </c>
      <c r="P20" s="3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</row>
    <row r="21" spans="1:57" s="9" customFormat="1" ht="18">
      <c r="A21" s="3" t="s">
        <v>185</v>
      </c>
      <c r="B21" s="3">
        <v>0.89400000000000002</v>
      </c>
      <c r="C21" s="3">
        <v>8.9999999999999993E-3</v>
      </c>
      <c r="D21" s="3">
        <v>0.999</v>
      </c>
      <c r="E21" s="3">
        <v>0</v>
      </c>
      <c r="F21" s="3">
        <v>1</v>
      </c>
      <c r="G21" s="3">
        <v>0</v>
      </c>
      <c r="H21" s="3">
        <v>1</v>
      </c>
      <c r="I21" s="3">
        <v>0</v>
      </c>
      <c r="J21" s="3">
        <v>1</v>
      </c>
      <c r="K21" s="3">
        <v>0</v>
      </c>
      <c r="L21" s="3">
        <v>1</v>
      </c>
      <c r="M21" s="3">
        <v>0</v>
      </c>
      <c r="N21" s="3">
        <v>1</v>
      </c>
      <c r="O21" s="3">
        <v>0</v>
      </c>
      <c r="P21" s="3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</row>
    <row r="22" spans="1:57" s="9" customFormat="1" ht="18">
      <c r="A22" s="3" t="s">
        <v>186</v>
      </c>
      <c r="B22" s="3">
        <v>0.66500000000000004</v>
      </c>
      <c r="C22" s="3">
        <v>8.9999999999999993E-3</v>
      </c>
      <c r="D22" s="3">
        <v>0.998</v>
      </c>
      <c r="E22" s="3">
        <v>0</v>
      </c>
      <c r="F22" s="3">
        <v>0.999</v>
      </c>
      <c r="G22" s="3">
        <v>0</v>
      </c>
      <c r="H22" s="3">
        <v>0.96199999999999997</v>
      </c>
      <c r="I22" s="3">
        <v>9.0999999999999998E-2</v>
      </c>
      <c r="J22" s="3">
        <v>0.98499999999999999</v>
      </c>
      <c r="K22" s="3">
        <v>2.1000000000000001E-2</v>
      </c>
      <c r="L22" s="3">
        <v>0.95499999999999996</v>
      </c>
      <c r="M22" s="3">
        <v>7.1999999999999995E-2</v>
      </c>
      <c r="N22" s="3">
        <v>0.96599999999999997</v>
      </c>
      <c r="O22" s="3">
        <v>3.2000000000000001E-2</v>
      </c>
      <c r="P22" s="3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</row>
    <row r="23" spans="1:57" s="9" customFormat="1" ht="18">
      <c r="A23" s="3" t="s">
        <v>187</v>
      </c>
      <c r="B23" s="3">
        <v>0.67300000000000004</v>
      </c>
      <c r="C23" s="3">
        <v>8.0000000000000002E-3</v>
      </c>
      <c r="D23" s="3">
        <v>0.99099999999999999</v>
      </c>
      <c r="E23" s="3">
        <v>0</v>
      </c>
      <c r="F23" s="3">
        <v>0.997</v>
      </c>
      <c r="G23" s="3">
        <v>0</v>
      </c>
      <c r="H23" s="3">
        <v>0.996</v>
      </c>
      <c r="I23" s="3">
        <v>1E-3</v>
      </c>
      <c r="J23" s="3">
        <v>0.996</v>
      </c>
      <c r="K23" s="3">
        <v>1E-3</v>
      </c>
      <c r="L23" s="3">
        <v>0.995</v>
      </c>
      <c r="M23" s="3">
        <v>0</v>
      </c>
      <c r="N23" s="3">
        <v>0.99099999999999999</v>
      </c>
      <c r="O23" s="3">
        <v>2E-3</v>
      </c>
      <c r="P23" s="3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</row>
    <row r="24" spans="1:57" s="9" customFormat="1" ht="18">
      <c r="A24" s="3" t="s">
        <v>188</v>
      </c>
      <c r="B24" s="3">
        <v>0.95199999999999996</v>
      </c>
      <c r="C24" s="3">
        <v>2.9000000000000001E-2</v>
      </c>
      <c r="D24" s="3">
        <v>1</v>
      </c>
      <c r="E24" s="3">
        <v>0</v>
      </c>
      <c r="F24" s="3">
        <v>1</v>
      </c>
      <c r="G24" s="3">
        <v>0</v>
      </c>
      <c r="H24" s="3">
        <v>1</v>
      </c>
      <c r="I24" s="3">
        <v>0</v>
      </c>
      <c r="J24" s="3">
        <v>1</v>
      </c>
      <c r="K24" s="3">
        <v>0</v>
      </c>
      <c r="L24" s="3">
        <v>1</v>
      </c>
      <c r="M24" s="3">
        <v>0</v>
      </c>
      <c r="N24" s="3">
        <v>0.998</v>
      </c>
      <c r="O24" s="3">
        <v>3.0000000000000001E-3</v>
      </c>
      <c r="P24" s="3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</row>
    <row r="25" spans="1:57" s="9" customFormat="1" ht="18">
      <c r="A25" s="3" t="s">
        <v>189</v>
      </c>
      <c r="B25" s="3">
        <v>0.96099999999999997</v>
      </c>
      <c r="C25" s="3">
        <v>1.6E-2</v>
      </c>
      <c r="D25" s="3">
        <v>1</v>
      </c>
      <c r="E25" s="3">
        <v>0</v>
      </c>
      <c r="F25" s="3">
        <v>1</v>
      </c>
      <c r="G25" s="3">
        <v>0</v>
      </c>
      <c r="H25" s="3">
        <v>1</v>
      </c>
      <c r="I25" s="3">
        <v>0</v>
      </c>
      <c r="J25" s="3">
        <v>1</v>
      </c>
      <c r="K25" s="3">
        <v>0</v>
      </c>
      <c r="L25" s="3">
        <v>1</v>
      </c>
      <c r="M25" s="3">
        <v>0</v>
      </c>
      <c r="N25" s="3">
        <v>1</v>
      </c>
      <c r="O25" s="3">
        <v>0</v>
      </c>
      <c r="P25" s="3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</row>
    <row r="26" spans="1:57" s="9" customFormat="1" ht="18">
      <c r="A26" s="3" t="s">
        <v>190</v>
      </c>
      <c r="B26" s="3">
        <v>0.94</v>
      </c>
      <c r="C26" s="3">
        <v>1.4E-2</v>
      </c>
      <c r="D26" s="3">
        <v>1</v>
      </c>
      <c r="E26" s="3">
        <v>0</v>
      </c>
      <c r="F26" s="3">
        <v>1</v>
      </c>
      <c r="G26" s="3">
        <v>0</v>
      </c>
      <c r="H26" s="3">
        <v>1</v>
      </c>
      <c r="I26" s="3">
        <v>0</v>
      </c>
      <c r="J26" s="3">
        <v>1</v>
      </c>
      <c r="K26" s="3">
        <v>0</v>
      </c>
      <c r="L26" s="3">
        <v>1</v>
      </c>
      <c r="M26" s="3">
        <v>0</v>
      </c>
      <c r="N26" s="3">
        <v>0.98299999999999998</v>
      </c>
      <c r="O26" s="3">
        <v>1.7999999999999999E-2</v>
      </c>
      <c r="P26" s="3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</row>
    <row r="27" spans="1:57" s="9" customFormat="1" ht="18">
      <c r="A27" s="3" t="s">
        <v>191</v>
      </c>
      <c r="B27" s="3">
        <v>0.9</v>
      </c>
      <c r="C27" s="3">
        <v>4.5999999999999999E-2</v>
      </c>
      <c r="D27" s="3">
        <v>0.999</v>
      </c>
      <c r="E27" s="3">
        <v>0</v>
      </c>
      <c r="F27" s="3">
        <v>1</v>
      </c>
      <c r="G27" s="3">
        <v>0</v>
      </c>
      <c r="H27" s="3">
        <v>1</v>
      </c>
      <c r="I27" s="3">
        <v>0</v>
      </c>
      <c r="J27" s="3">
        <v>1</v>
      </c>
      <c r="K27" s="3">
        <v>0</v>
      </c>
      <c r="L27" s="3">
        <v>0.999</v>
      </c>
      <c r="M27" s="3">
        <v>0</v>
      </c>
      <c r="N27" s="3">
        <v>0.997</v>
      </c>
      <c r="O27" s="3">
        <v>2E-3</v>
      </c>
      <c r="P27" s="3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</row>
    <row r="28" spans="1:57" s="9" customFormat="1" ht="18">
      <c r="A28" s="3" t="s">
        <v>192</v>
      </c>
      <c r="B28" s="3">
        <v>0.85899999999999999</v>
      </c>
      <c r="C28" s="3">
        <v>8.9999999999999993E-3</v>
      </c>
      <c r="D28" s="3">
        <v>0.995</v>
      </c>
      <c r="E28" s="3">
        <v>0</v>
      </c>
      <c r="F28" s="3">
        <v>0.998</v>
      </c>
      <c r="G28" s="3">
        <v>0</v>
      </c>
      <c r="H28" s="3">
        <v>0.998</v>
      </c>
      <c r="I28" s="3">
        <v>0</v>
      </c>
      <c r="J28" s="3">
        <v>0.998</v>
      </c>
      <c r="K28" s="3">
        <v>0</v>
      </c>
      <c r="L28" s="3">
        <v>0.997</v>
      </c>
      <c r="M28" s="3">
        <v>0</v>
      </c>
      <c r="N28" s="3">
        <v>0.996</v>
      </c>
      <c r="O28" s="3">
        <v>1E-3</v>
      </c>
      <c r="P28" s="3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</row>
    <row r="29" spans="1:57" s="9" customFormat="1" ht="18">
      <c r="A29" s="3" t="s">
        <v>193</v>
      </c>
      <c r="B29" s="3">
        <v>0.93799999999999994</v>
      </c>
      <c r="C29" s="3">
        <v>4.0000000000000001E-3</v>
      </c>
      <c r="D29" s="3">
        <v>0.99399999999999999</v>
      </c>
      <c r="E29" s="3">
        <v>1E-3</v>
      </c>
      <c r="F29" s="3">
        <v>0.99399999999999999</v>
      </c>
      <c r="G29" s="3">
        <v>7.0000000000000001E-3</v>
      </c>
      <c r="H29" s="3">
        <v>0.995</v>
      </c>
      <c r="I29" s="3">
        <v>2E-3</v>
      </c>
      <c r="J29" s="3">
        <v>0.996</v>
      </c>
      <c r="K29" s="3">
        <v>2E-3</v>
      </c>
      <c r="L29" s="3">
        <v>0.99399999999999999</v>
      </c>
      <c r="M29" s="3">
        <v>2E-3</v>
      </c>
      <c r="N29" s="3">
        <v>0.997</v>
      </c>
      <c r="O29" s="3">
        <v>1E-3</v>
      </c>
      <c r="P29" s="3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</row>
    <row r="30" spans="1:57" s="9" customFormat="1" ht="18">
      <c r="A30" s="3" t="s">
        <v>194</v>
      </c>
      <c r="B30" s="3">
        <v>0.95</v>
      </c>
      <c r="C30" s="3">
        <v>6.0000000000000001E-3</v>
      </c>
      <c r="D30" s="3">
        <v>0.99199999999999999</v>
      </c>
      <c r="E30" s="3">
        <v>1E-3</v>
      </c>
      <c r="F30" s="3">
        <v>0.996</v>
      </c>
      <c r="G30" s="3">
        <v>1E-3</v>
      </c>
      <c r="H30" s="3">
        <v>0.995</v>
      </c>
      <c r="I30" s="3">
        <v>2E-3</v>
      </c>
      <c r="J30" s="3">
        <v>0.995</v>
      </c>
      <c r="K30" s="3">
        <v>0</v>
      </c>
      <c r="L30" s="3">
        <v>0.995</v>
      </c>
      <c r="M30" s="3">
        <v>1E-3</v>
      </c>
      <c r="N30" s="3">
        <v>0.99399999999999999</v>
      </c>
      <c r="O30" s="3">
        <v>1E-3</v>
      </c>
      <c r="P30" s="3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</row>
    <row r="31" spans="1:57" s="9" customFormat="1" ht="18">
      <c r="A31" s="3" t="s">
        <v>195</v>
      </c>
      <c r="B31" s="3">
        <v>0.97399999999999998</v>
      </c>
      <c r="C31" s="3">
        <v>4.0000000000000001E-3</v>
      </c>
      <c r="D31" s="3">
        <v>0.998</v>
      </c>
      <c r="E31" s="3">
        <v>1E-3</v>
      </c>
      <c r="F31" s="3">
        <v>1</v>
      </c>
      <c r="G31" s="3">
        <v>0</v>
      </c>
      <c r="H31" s="3">
        <v>0.89</v>
      </c>
      <c r="I31" s="3">
        <v>0.17199999999999999</v>
      </c>
      <c r="J31" s="3">
        <v>0.99</v>
      </c>
      <c r="K31" s="3">
        <v>2.5000000000000001E-2</v>
      </c>
      <c r="L31" s="3">
        <v>0.95599999999999996</v>
      </c>
      <c r="M31" s="3">
        <v>9.5000000000000001E-2</v>
      </c>
      <c r="N31" s="3">
        <v>0.95899999999999996</v>
      </c>
      <c r="O31" s="3">
        <v>8.4000000000000005E-2</v>
      </c>
      <c r="P31" s="3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</row>
    <row r="32" spans="1:57" s="9" customFormat="1" ht="18">
      <c r="A32" s="3" t="s">
        <v>196</v>
      </c>
      <c r="B32" s="3">
        <v>0.95699999999999996</v>
      </c>
      <c r="C32" s="3">
        <v>1.9E-2</v>
      </c>
      <c r="D32" s="3">
        <v>0.99199999999999999</v>
      </c>
      <c r="E32" s="3">
        <v>1E-3</v>
      </c>
      <c r="F32" s="3">
        <v>0.996</v>
      </c>
      <c r="G32" s="3">
        <v>0</v>
      </c>
      <c r="H32" s="3">
        <v>0.98499999999999999</v>
      </c>
      <c r="I32" s="3">
        <v>2.1000000000000001E-2</v>
      </c>
      <c r="J32" s="3">
        <v>0.996</v>
      </c>
      <c r="K32" s="3">
        <v>1E-3</v>
      </c>
      <c r="L32" s="3">
        <v>0.99399999999999999</v>
      </c>
      <c r="M32" s="3">
        <v>5.0000000000000001E-3</v>
      </c>
      <c r="N32" s="3">
        <v>0.99</v>
      </c>
      <c r="O32" s="3">
        <v>0.01</v>
      </c>
      <c r="P32" s="3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</row>
    <row r="33" spans="1:57" s="9" customFormat="1" ht="18">
      <c r="A33" s="3" t="s">
        <v>197</v>
      </c>
      <c r="B33" s="3">
        <v>0.78600000000000003</v>
      </c>
      <c r="C33" s="3">
        <v>6.0000000000000001E-3</v>
      </c>
      <c r="D33" s="3">
        <v>0.996</v>
      </c>
      <c r="E33" s="3">
        <v>0</v>
      </c>
      <c r="F33" s="3">
        <v>0.998</v>
      </c>
      <c r="G33" s="3">
        <v>0</v>
      </c>
      <c r="H33" s="3">
        <v>0.996</v>
      </c>
      <c r="I33" s="3">
        <v>4.0000000000000001E-3</v>
      </c>
      <c r="J33" s="3">
        <v>0.95299999999999996</v>
      </c>
      <c r="K33" s="3">
        <v>0.13200000000000001</v>
      </c>
      <c r="L33" s="3">
        <v>0.996</v>
      </c>
      <c r="M33" s="3">
        <v>1E-3</v>
      </c>
      <c r="N33" s="3">
        <v>0.91500000000000004</v>
      </c>
      <c r="O33" s="3">
        <v>0.14399999999999999</v>
      </c>
      <c r="P33" s="3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</row>
    <row r="34" spans="1:57" s="9" customFormat="1" ht="18">
      <c r="A34" s="3" t="s">
        <v>198</v>
      </c>
      <c r="B34" s="3">
        <v>0.91200000000000003</v>
      </c>
      <c r="C34" s="3">
        <v>3.0000000000000001E-3</v>
      </c>
      <c r="D34" s="3">
        <v>0.998</v>
      </c>
      <c r="E34" s="3">
        <v>0</v>
      </c>
      <c r="F34" s="3">
        <v>0.999</v>
      </c>
      <c r="G34" s="3">
        <v>1E-3</v>
      </c>
      <c r="H34" s="3">
        <v>0.998</v>
      </c>
      <c r="I34" s="3">
        <v>1E-3</v>
      </c>
      <c r="J34" s="3">
        <v>0.998</v>
      </c>
      <c r="K34" s="3">
        <v>2E-3</v>
      </c>
      <c r="L34" s="3">
        <v>0.997</v>
      </c>
      <c r="M34" s="3">
        <v>2E-3</v>
      </c>
      <c r="N34" s="3">
        <v>0.96</v>
      </c>
      <c r="O34" s="3">
        <v>8.3000000000000004E-2</v>
      </c>
      <c r="P34" s="3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</row>
    <row r="35" spans="1:57" s="9" customFormat="1" ht="18">
      <c r="A35" s="3" t="s">
        <v>199</v>
      </c>
      <c r="B35" s="3">
        <v>0.86199999999999999</v>
      </c>
      <c r="C35" s="3">
        <v>8.0000000000000002E-3</v>
      </c>
      <c r="D35" s="3">
        <v>0.97699999999999998</v>
      </c>
      <c r="E35" s="3">
        <v>1E-3</v>
      </c>
      <c r="F35" s="3">
        <v>0.99299999999999999</v>
      </c>
      <c r="G35" s="3">
        <v>2E-3</v>
      </c>
      <c r="H35" s="3">
        <v>0.99099999999999999</v>
      </c>
      <c r="I35" s="3">
        <v>3.0000000000000001E-3</v>
      </c>
      <c r="J35" s="3">
        <v>0.99099999999999999</v>
      </c>
      <c r="K35" s="3">
        <v>3.0000000000000001E-3</v>
      </c>
      <c r="L35" s="3">
        <v>0.99099999999999999</v>
      </c>
      <c r="M35" s="3">
        <v>1E-3</v>
      </c>
      <c r="N35" s="3">
        <v>0.98899999999999999</v>
      </c>
      <c r="O35" s="3">
        <v>1E-3</v>
      </c>
      <c r="P35" s="3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</row>
    <row r="36" spans="1:57" s="9" customFormat="1" ht="18">
      <c r="A36" s="3" t="s">
        <v>200</v>
      </c>
      <c r="B36" s="3">
        <v>0.85</v>
      </c>
      <c r="C36" s="3">
        <v>6.0000000000000001E-3</v>
      </c>
      <c r="D36" s="3">
        <v>0.99299999999999999</v>
      </c>
      <c r="E36" s="3">
        <v>0</v>
      </c>
      <c r="F36" s="3">
        <v>0.998</v>
      </c>
      <c r="G36" s="3">
        <v>0</v>
      </c>
      <c r="H36" s="3">
        <v>0.997</v>
      </c>
      <c r="I36" s="3">
        <v>1E-3</v>
      </c>
      <c r="J36" s="3">
        <v>0.997</v>
      </c>
      <c r="K36" s="3">
        <v>0</v>
      </c>
      <c r="L36" s="3">
        <v>0.997</v>
      </c>
      <c r="M36" s="3">
        <v>0</v>
      </c>
      <c r="N36" s="3">
        <v>0.99399999999999999</v>
      </c>
      <c r="O36" s="3">
        <v>1E-3</v>
      </c>
      <c r="P36" s="3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</row>
    <row r="37" spans="1:57" s="9" customFormat="1" ht="18">
      <c r="A37" s="12" t="s">
        <v>201</v>
      </c>
      <c r="B37" s="3">
        <v>0.84299999999999997</v>
      </c>
      <c r="C37" s="3">
        <v>3.5000000000000003E-2</v>
      </c>
      <c r="D37" s="3">
        <v>0.997</v>
      </c>
      <c r="E37" s="3">
        <v>0</v>
      </c>
      <c r="F37" s="3">
        <v>0.999</v>
      </c>
      <c r="G37" s="3">
        <v>0</v>
      </c>
      <c r="H37" s="3">
        <v>0.999</v>
      </c>
      <c r="I37" s="3">
        <v>0</v>
      </c>
      <c r="J37" s="3">
        <v>0.999</v>
      </c>
      <c r="K37" s="3">
        <v>0</v>
      </c>
      <c r="L37" s="3">
        <v>0.999</v>
      </c>
      <c r="M37" s="3">
        <v>0</v>
      </c>
      <c r="N37" s="3">
        <v>0.998</v>
      </c>
      <c r="O37" s="3">
        <v>1E-3</v>
      </c>
      <c r="P37" s="3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</row>
    <row r="38" spans="1:57" s="9" customFormat="1" ht="18">
      <c r="A38" s="12" t="s">
        <v>202</v>
      </c>
      <c r="B38" s="3">
        <v>0.89400000000000002</v>
      </c>
      <c r="C38" s="3">
        <v>6.0000000000000001E-3</v>
      </c>
      <c r="D38" s="3">
        <v>0.98299999999999998</v>
      </c>
      <c r="E38" s="3">
        <v>1E-3</v>
      </c>
      <c r="F38" s="3">
        <v>0.99</v>
      </c>
      <c r="G38" s="3">
        <v>1E-3</v>
      </c>
      <c r="H38" s="3">
        <v>0.98799999999999999</v>
      </c>
      <c r="I38" s="3">
        <v>3.0000000000000001E-3</v>
      </c>
      <c r="J38" s="3">
        <v>0.98899999999999999</v>
      </c>
      <c r="K38" s="3">
        <v>1E-3</v>
      </c>
      <c r="L38" s="3">
        <v>0.98899999999999999</v>
      </c>
      <c r="M38" s="3">
        <v>1E-3</v>
      </c>
      <c r="N38" s="3">
        <v>0.98899999999999999</v>
      </c>
      <c r="O38" s="3">
        <v>1E-3</v>
      </c>
      <c r="P38" s="3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</row>
    <row r="39" spans="1:57" s="9" customFormat="1" ht="18">
      <c r="A39" s="3" t="s">
        <v>203</v>
      </c>
      <c r="B39" s="3">
        <v>0.89600000000000002</v>
      </c>
      <c r="C39" s="3">
        <v>8.4000000000000005E-2</v>
      </c>
      <c r="D39" s="3">
        <v>0.998</v>
      </c>
      <c r="E39" s="3">
        <v>0</v>
      </c>
      <c r="F39" s="3">
        <v>0.999</v>
      </c>
      <c r="G39" s="3">
        <v>0</v>
      </c>
      <c r="H39" s="3">
        <v>0.998</v>
      </c>
      <c r="I39" s="3">
        <v>0</v>
      </c>
      <c r="J39" s="3">
        <v>0.998</v>
      </c>
      <c r="K39" s="3">
        <v>0</v>
      </c>
      <c r="L39" s="3">
        <v>0.998</v>
      </c>
      <c r="M39" s="3">
        <v>0</v>
      </c>
      <c r="N39" s="3">
        <v>0.998</v>
      </c>
      <c r="O39" s="3">
        <v>1E-3</v>
      </c>
      <c r="P39" s="3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</row>
    <row r="40" spans="1:57" s="9" customFormat="1" ht="18">
      <c r="A40" s="3" t="s">
        <v>204</v>
      </c>
      <c r="B40" s="3">
        <v>0.69799999999999995</v>
      </c>
      <c r="C40" s="3">
        <v>1.2E-2</v>
      </c>
      <c r="D40" s="3">
        <v>0.99199999999999999</v>
      </c>
      <c r="E40" s="3">
        <v>0</v>
      </c>
      <c r="F40" s="3">
        <v>0.995</v>
      </c>
      <c r="G40" s="3">
        <v>1E-3</v>
      </c>
      <c r="H40" s="3">
        <v>0.99299999999999999</v>
      </c>
      <c r="I40" s="3">
        <v>2E-3</v>
      </c>
      <c r="J40" s="3">
        <v>0.99299999999999999</v>
      </c>
      <c r="K40" s="3">
        <v>2E-3</v>
      </c>
      <c r="L40" s="3">
        <v>0.99399999999999999</v>
      </c>
      <c r="M40" s="3">
        <v>1E-3</v>
      </c>
      <c r="N40" s="3">
        <v>0.99299999999999999</v>
      </c>
      <c r="O40" s="3">
        <v>1E-3</v>
      </c>
      <c r="P40" s="3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</row>
    <row r="41" spans="1:57" s="9" customFormat="1" ht="18">
      <c r="A41" s="3" t="s">
        <v>205</v>
      </c>
      <c r="B41" s="3">
        <v>0.67400000000000004</v>
      </c>
      <c r="C41" s="3">
        <v>0.01</v>
      </c>
      <c r="D41" s="3">
        <v>0.98899999999999999</v>
      </c>
      <c r="E41" s="3">
        <v>0</v>
      </c>
      <c r="F41" s="3">
        <v>0.99199999999999999</v>
      </c>
      <c r="G41" s="3">
        <v>1E-3</v>
      </c>
      <c r="H41" s="3">
        <v>0.99099999999999999</v>
      </c>
      <c r="I41" s="3">
        <v>2E-3</v>
      </c>
      <c r="J41" s="3">
        <v>0.99199999999999999</v>
      </c>
      <c r="K41" s="3">
        <v>1E-3</v>
      </c>
      <c r="L41" s="3">
        <v>0.99</v>
      </c>
      <c r="M41" s="3">
        <v>1E-3</v>
      </c>
      <c r="N41" s="3">
        <v>0.98699999999999999</v>
      </c>
      <c r="O41" s="3">
        <v>2E-3</v>
      </c>
      <c r="P41" s="3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</row>
    <row r="42" spans="1:57" s="9" customFormat="1" ht="18">
      <c r="A42" s="3" t="s">
        <v>206</v>
      </c>
      <c r="B42" s="3">
        <v>0.93200000000000005</v>
      </c>
      <c r="C42" s="3">
        <v>5.0000000000000001E-3</v>
      </c>
      <c r="D42" s="3">
        <v>0.997</v>
      </c>
      <c r="E42" s="3">
        <v>0</v>
      </c>
      <c r="F42" s="3">
        <v>0.999</v>
      </c>
      <c r="G42" s="3">
        <v>0</v>
      </c>
      <c r="H42" s="3">
        <v>0.999</v>
      </c>
      <c r="I42" s="3">
        <v>0</v>
      </c>
      <c r="J42" s="3">
        <v>0.999</v>
      </c>
      <c r="K42" s="3">
        <v>1E-3</v>
      </c>
      <c r="L42" s="3">
        <v>0.999</v>
      </c>
      <c r="M42" s="3">
        <v>0</v>
      </c>
      <c r="N42" s="3">
        <v>0.999</v>
      </c>
      <c r="O42" s="3">
        <v>0</v>
      </c>
      <c r="P42" s="3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</row>
    <row r="43" spans="1:57" s="9" customFormat="1" ht="18">
      <c r="A43" s="3" t="s">
        <v>207</v>
      </c>
      <c r="B43" s="3">
        <v>0.85299999999999998</v>
      </c>
      <c r="C43" s="3">
        <v>8.9999999999999993E-3</v>
      </c>
      <c r="D43" s="3">
        <v>0.99199999999999999</v>
      </c>
      <c r="E43" s="3">
        <v>3.0000000000000001E-3</v>
      </c>
      <c r="F43" s="3">
        <v>1</v>
      </c>
      <c r="G43" s="3">
        <v>1E-3</v>
      </c>
      <c r="H43" s="3">
        <v>0.999</v>
      </c>
      <c r="I43" s="3">
        <v>2E-3</v>
      </c>
      <c r="J43" s="3">
        <v>1</v>
      </c>
      <c r="K43" s="3">
        <v>0</v>
      </c>
      <c r="L43" s="3">
        <v>1</v>
      </c>
      <c r="M43" s="3">
        <v>0</v>
      </c>
      <c r="N43" s="3">
        <v>1</v>
      </c>
      <c r="O43" s="3">
        <v>0</v>
      </c>
      <c r="P43" s="3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</row>
    <row r="44" spans="1:57" s="9" customFormat="1" ht="18">
      <c r="A44" s="12" t="s">
        <v>208</v>
      </c>
      <c r="B44" s="3">
        <v>0.85499999999999998</v>
      </c>
      <c r="C44" s="3">
        <v>2.9000000000000001E-2</v>
      </c>
      <c r="D44" s="3">
        <v>0.99099999999999999</v>
      </c>
      <c r="E44" s="3">
        <v>3.0000000000000001E-3</v>
      </c>
      <c r="F44" s="3">
        <v>1</v>
      </c>
      <c r="G44" s="3">
        <v>0</v>
      </c>
      <c r="H44" s="3">
        <v>0.999</v>
      </c>
      <c r="I44" s="3">
        <v>1E-3</v>
      </c>
      <c r="J44" s="3">
        <v>0.99</v>
      </c>
      <c r="K44" s="3">
        <v>1.0999999999999999E-2</v>
      </c>
      <c r="L44" s="3">
        <v>0.99399999999999999</v>
      </c>
      <c r="M44" s="3">
        <v>1.0999999999999999E-2</v>
      </c>
      <c r="N44" s="3">
        <v>0.997</v>
      </c>
      <c r="O44" s="3">
        <v>4.0000000000000001E-3</v>
      </c>
      <c r="P44" s="3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</row>
    <row r="45" spans="1:57" s="9" customFormat="1" ht="18">
      <c r="A45" s="3" t="s">
        <v>68</v>
      </c>
      <c r="B45" s="3">
        <v>0.89700000000000002</v>
      </c>
      <c r="C45" s="3">
        <v>7.0000000000000001E-3</v>
      </c>
      <c r="D45" s="3">
        <v>0.999</v>
      </c>
      <c r="E45" s="3">
        <v>0</v>
      </c>
      <c r="F45" s="3">
        <v>0.999</v>
      </c>
      <c r="G45" s="3">
        <v>0</v>
      </c>
      <c r="H45" s="3">
        <v>0.999</v>
      </c>
      <c r="I45" s="3">
        <v>0</v>
      </c>
      <c r="J45" s="3">
        <v>0.999</v>
      </c>
      <c r="K45" s="3">
        <v>0</v>
      </c>
      <c r="L45" s="3">
        <v>0.999</v>
      </c>
      <c r="M45" s="3">
        <v>0</v>
      </c>
      <c r="N45" s="3">
        <v>0.999</v>
      </c>
      <c r="O45" s="3">
        <v>0</v>
      </c>
      <c r="P45" s="3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</row>
    <row r="46" spans="1:57" ht="18">
      <c r="B46" s="16">
        <f>AVERAGE(B4:B45)</f>
        <v>0.88128571428571401</v>
      </c>
      <c r="C46" s="16">
        <f t="shared" ref="C46:O46" si="0">AVERAGE(C4:C45)</f>
        <v>1.5119047619047624E-2</v>
      </c>
      <c r="D46" s="16">
        <f>AVERAGE(D4:D45)</f>
        <v>0.99385714285714266</v>
      </c>
      <c r="E46" s="16">
        <f>AVERAGE(E4:E45)</f>
        <v>5.0000000000000012E-4</v>
      </c>
      <c r="F46" s="16">
        <f t="shared" ref="F46" si="1">AVERAGE(F4:F45)</f>
        <v>0.99740476190476191</v>
      </c>
      <c r="G46" s="16">
        <f t="shared" si="0"/>
        <v>8.5714285714285721E-4</v>
      </c>
      <c r="H46" s="16">
        <f t="shared" si="0"/>
        <v>0.99297619047619079</v>
      </c>
      <c r="I46" s="16">
        <f t="shared" si="0"/>
        <v>8.333333333333335E-3</v>
      </c>
      <c r="J46" s="16">
        <f t="shared" si="0"/>
        <v>0.99516666666666675</v>
      </c>
      <c r="K46" s="16">
        <f t="shared" si="0"/>
        <v>5.5714285714285727E-3</v>
      </c>
      <c r="L46" s="16">
        <f t="shared" si="0"/>
        <v>0.99385714285714299</v>
      </c>
      <c r="M46" s="16">
        <f t="shared" si="0"/>
        <v>7.1904761904761916E-3</v>
      </c>
      <c r="N46" s="16">
        <f t="shared" si="0"/>
        <v>0.9888095238095238</v>
      </c>
      <c r="O46" s="16">
        <f t="shared" si="0"/>
        <v>1.6285714285714285E-2</v>
      </c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</row>
    <row r="47" spans="1:57" ht="18">
      <c r="B47" s="5"/>
      <c r="C47" s="5"/>
      <c r="D47" s="5"/>
      <c r="E47" s="5"/>
      <c r="F47" s="3"/>
      <c r="G47" s="3"/>
      <c r="H47" s="3"/>
      <c r="I47" s="3"/>
      <c r="J47" s="3"/>
      <c r="K47" s="3"/>
      <c r="L47" s="3"/>
      <c r="M47" s="3"/>
      <c r="N47" s="3"/>
      <c r="O47" s="3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</row>
    <row r="48" spans="1:57" ht="18">
      <c r="F48" s="3"/>
      <c r="G48" s="3"/>
      <c r="H48" s="3"/>
      <c r="I48" s="3"/>
      <c r="J48" s="3"/>
      <c r="K48" s="3"/>
      <c r="L48" s="3"/>
      <c r="M48" s="3"/>
      <c r="N48" s="3"/>
      <c r="O48" s="3"/>
    </row>
  </sheetData>
  <mergeCells count="8">
    <mergeCell ref="N2:O2"/>
    <mergeCell ref="D2:E2"/>
    <mergeCell ref="A2:A3"/>
    <mergeCell ref="B2:C2"/>
    <mergeCell ref="F2:G2"/>
    <mergeCell ref="H2:I2"/>
    <mergeCell ref="L2:M2"/>
    <mergeCell ref="J2:K2"/>
  </mergeCells>
  <phoneticPr fontId="1" type="noConversion"/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351A1-E227-224B-A3D4-1AE12B361F74}">
  <dimension ref="A1:O144"/>
  <sheetViews>
    <sheetView workbookViewId="0"/>
  </sheetViews>
  <sheetFormatPr baseColWidth="10" defaultRowHeight="16"/>
  <cols>
    <col min="1" max="1" width="18.83203125" customWidth="1"/>
    <col min="2" max="13" width="17.33203125" customWidth="1"/>
    <col min="14" max="15" width="15.83203125" customWidth="1"/>
  </cols>
  <sheetData>
    <row r="1" spans="1:15" ht="58" customHeight="1">
      <c r="A1" s="2" t="s">
        <v>262</v>
      </c>
    </row>
    <row r="2" spans="1:15" ht="22">
      <c r="A2" s="20" t="s">
        <v>0</v>
      </c>
      <c r="B2" s="19" t="s">
        <v>256</v>
      </c>
      <c r="C2" s="19"/>
      <c r="D2" s="19" t="s">
        <v>257</v>
      </c>
      <c r="E2" s="19"/>
      <c r="F2" s="19" t="s">
        <v>258</v>
      </c>
      <c r="G2" s="19"/>
      <c r="H2" s="22" t="s">
        <v>259</v>
      </c>
      <c r="I2" s="22"/>
      <c r="J2" s="22" t="s">
        <v>260</v>
      </c>
      <c r="K2" s="22"/>
      <c r="L2" s="22" t="s">
        <v>261</v>
      </c>
      <c r="M2" s="22"/>
    </row>
    <row r="3" spans="1:15" ht="22">
      <c r="A3" s="20"/>
      <c r="B3" s="6" t="s">
        <v>70</v>
      </c>
      <c r="C3" s="6" t="s">
        <v>72</v>
      </c>
      <c r="D3" s="6" t="s">
        <v>70</v>
      </c>
      <c r="E3" s="6" t="s">
        <v>72</v>
      </c>
      <c r="F3" s="6" t="s">
        <v>69</v>
      </c>
      <c r="G3" s="6" t="s">
        <v>71</v>
      </c>
      <c r="H3" s="6" t="s">
        <v>69</v>
      </c>
      <c r="I3" s="6" t="s">
        <v>71</v>
      </c>
      <c r="J3" s="6" t="s">
        <v>69</v>
      </c>
      <c r="K3" s="6" t="s">
        <v>71</v>
      </c>
      <c r="L3" s="6" t="s">
        <v>69</v>
      </c>
      <c r="M3" s="6" t="s">
        <v>71</v>
      </c>
      <c r="N3" s="6" t="s">
        <v>236</v>
      </c>
      <c r="O3" s="6" t="s">
        <v>237</v>
      </c>
    </row>
    <row r="4" spans="1:15" ht="18">
      <c r="A4" s="3" t="s">
        <v>168</v>
      </c>
      <c r="B4" s="3">
        <v>8.0000000000000002E-3</v>
      </c>
      <c r="C4" s="3">
        <v>2E-3</v>
      </c>
      <c r="D4" s="3">
        <v>1.2E-2</v>
      </c>
      <c r="E4" s="3">
        <v>2E-3</v>
      </c>
      <c r="F4" s="3">
        <v>1.4999999999999999E-2</v>
      </c>
      <c r="G4" s="3">
        <v>2E-3</v>
      </c>
      <c r="H4" s="3">
        <v>1.7999999999999999E-2</v>
      </c>
      <c r="I4" s="3">
        <v>1E-3</v>
      </c>
      <c r="J4" s="3">
        <v>2.4E-2</v>
      </c>
      <c r="K4" s="3">
        <v>4.0000000000000001E-3</v>
      </c>
      <c r="L4" s="3">
        <v>2.4E-2</v>
      </c>
      <c r="M4" s="3">
        <v>3.0000000000000001E-3</v>
      </c>
      <c r="N4" s="3">
        <v>0.96871508379888305</v>
      </c>
      <c r="O4" s="3">
        <v>3.7092603445561538E-4</v>
      </c>
    </row>
    <row r="5" spans="1:15" ht="18">
      <c r="A5" s="3" t="s">
        <v>169</v>
      </c>
      <c r="B5" s="3">
        <v>6.0000000000000001E-3</v>
      </c>
      <c r="C5" s="3">
        <v>2E-3</v>
      </c>
      <c r="D5" s="3">
        <v>0.01</v>
      </c>
      <c r="E5" s="3">
        <v>4.0000000000000001E-3</v>
      </c>
      <c r="F5" s="3">
        <v>8.9999999999999993E-3</v>
      </c>
      <c r="G5" s="3">
        <v>1E-3</v>
      </c>
      <c r="H5" s="3">
        <v>1.0999999999999999E-2</v>
      </c>
      <c r="I5" s="3">
        <v>1E-3</v>
      </c>
      <c r="J5" s="3">
        <v>1.4E-2</v>
      </c>
      <c r="K5" s="3">
        <v>2E-3</v>
      </c>
      <c r="L5" s="3">
        <v>1.4E-2</v>
      </c>
      <c r="M5" s="3">
        <v>2E-3</v>
      </c>
      <c r="N5" s="3">
        <v>0.88008048289738405</v>
      </c>
      <c r="O5" s="3">
        <v>5.6241401281636487E-3</v>
      </c>
    </row>
    <row r="6" spans="1:15" ht="18">
      <c r="A6" s="3" t="s">
        <v>170</v>
      </c>
      <c r="B6" s="3">
        <v>1.7999999999999999E-2</v>
      </c>
      <c r="C6" s="3">
        <v>1.2E-2</v>
      </c>
      <c r="D6" s="3">
        <v>3.2000000000000001E-2</v>
      </c>
      <c r="E6" s="3">
        <v>2.1999999999999999E-2</v>
      </c>
      <c r="F6" s="3">
        <v>3.5000000000000003E-2</v>
      </c>
      <c r="G6" s="3">
        <v>6.0000000000000001E-3</v>
      </c>
      <c r="H6" s="3">
        <v>4.7E-2</v>
      </c>
      <c r="I6" s="3">
        <v>6.0000000000000001E-3</v>
      </c>
      <c r="J6" s="3">
        <v>6.4000000000000001E-2</v>
      </c>
      <c r="K6" s="3">
        <v>1.6E-2</v>
      </c>
      <c r="L6" s="3">
        <v>6.0999999999999999E-2</v>
      </c>
      <c r="M6" s="3">
        <v>0.01</v>
      </c>
      <c r="N6" s="3">
        <v>0.93687644989897489</v>
      </c>
      <c r="O6" s="3">
        <v>1.526824187302381E-3</v>
      </c>
    </row>
    <row r="7" spans="1:15" ht="18">
      <c r="A7" s="3" t="s">
        <v>171</v>
      </c>
      <c r="B7" s="3">
        <v>0.02</v>
      </c>
      <c r="C7" s="3">
        <v>4.0000000000000001E-3</v>
      </c>
      <c r="D7" s="3">
        <v>3.7999999999999999E-2</v>
      </c>
      <c r="E7" s="3">
        <v>1.4E-2</v>
      </c>
      <c r="F7" s="3">
        <v>0.05</v>
      </c>
      <c r="G7" s="3">
        <v>6.0000000000000001E-3</v>
      </c>
      <c r="H7" s="3">
        <v>9.2999999999999999E-2</v>
      </c>
      <c r="I7" s="3">
        <v>0.05</v>
      </c>
      <c r="J7" s="3">
        <v>0.125</v>
      </c>
      <c r="K7" s="3">
        <v>7.9000000000000001E-2</v>
      </c>
      <c r="L7" s="3">
        <v>8.8999999999999996E-2</v>
      </c>
      <c r="M7" s="3">
        <v>2.5000000000000001E-2</v>
      </c>
      <c r="N7" s="3">
        <v>0.76800065640925874</v>
      </c>
      <c r="O7" s="3">
        <v>2.198647098930535E-2</v>
      </c>
    </row>
    <row r="8" spans="1:15" ht="18">
      <c r="A8" s="3" t="s">
        <v>172</v>
      </c>
      <c r="B8" s="3">
        <v>1.7999999999999999E-2</v>
      </c>
      <c r="C8" s="3">
        <v>5.0000000000000001E-3</v>
      </c>
      <c r="D8" s="3">
        <v>2.9000000000000001E-2</v>
      </c>
      <c r="E8" s="3">
        <v>4.0000000000000001E-3</v>
      </c>
      <c r="F8" s="3">
        <v>3.9E-2</v>
      </c>
      <c r="G8" s="3">
        <v>4.0000000000000001E-3</v>
      </c>
      <c r="H8" s="3">
        <v>5.0999999999999997E-2</v>
      </c>
      <c r="I8" s="3">
        <v>5.0000000000000001E-3</v>
      </c>
      <c r="J8" s="3">
        <v>7.1999999999999995E-2</v>
      </c>
      <c r="K8" s="3">
        <v>1.7999999999999999E-2</v>
      </c>
      <c r="L8" s="3">
        <v>6.6000000000000003E-2</v>
      </c>
      <c r="M8" s="3">
        <v>8.0000000000000002E-3</v>
      </c>
      <c r="N8" s="3">
        <v>0.93292130378431659</v>
      </c>
      <c r="O8" s="3">
        <v>1.7265503011241229E-3</v>
      </c>
    </row>
    <row r="9" spans="1:15" ht="18">
      <c r="A9" s="3" t="s">
        <v>173</v>
      </c>
      <c r="B9" s="3">
        <v>1.6E-2</v>
      </c>
      <c r="C9" s="3">
        <v>3.0000000000000001E-3</v>
      </c>
      <c r="D9" s="3">
        <v>0.03</v>
      </c>
      <c r="E9" s="3">
        <v>8.0000000000000002E-3</v>
      </c>
      <c r="F9" s="3">
        <v>3.9E-2</v>
      </c>
      <c r="G9" s="3">
        <v>4.0000000000000001E-3</v>
      </c>
      <c r="H9" s="3">
        <v>5.1999999999999998E-2</v>
      </c>
      <c r="I9" s="3">
        <v>8.9999999999999993E-3</v>
      </c>
      <c r="J9" s="3">
        <v>6.2E-2</v>
      </c>
      <c r="K9" s="3">
        <v>5.0000000000000001E-3</v>
      </c>
      <c r="L9" s="3">
        <v>9.5000000000000001E-2</v>
      </c>
      <c r="M9" s="3">
        <v>9.7000000000000003E-2</v>
      </c>
      <c r="N9" s="3">
        <v>0.94401664932362117</v>
      </c>
      <c r="O9" s="3">
        <v>1.1979508016355159E-3</v>
      </c>
    </row>
    <row r="10" spans="1:15" ht="18">
      <c r="A10" s="3" t="s">
        <v>174</v>
      </c>
      <c r="B10" s="3">
        <v>1.4E-2</v>
      </c>
      <c r="C10" s="3">
        <v>4.0000000000000001E-3</v>
      </c>
      <c r="D10" s="3">
        <v>0.03</v>
      </c>
      <c r="E10" s="3">
        <v>3.1E-2</v>
      </c>
      <c r="F10" s="3">
        <v>2.7E-2</v>
      </c>
      <c r="G10" s="3">
        <v>3.0000000000000001E-3</v>
      </c>
      <c r="H10" s="3">
        <v>3.6999999999999998E-2</v>
      </c>
      <c r="I10" s="3">
        <v>1.6E-2</v>
      </c>
      <c r="J10" s="3">
        <v>4.1000000000000002E-2</v>
      </c>
      <c r="K10" s="3">
        <v>4.0000000000000001E-3</v>
      </c>
      <c r="L10" s="3">
        <v>6.2E-2</v>
      </c>
      <c r="M10" s="3">
        <v>6.3E-2</v>
      </c>
      <c r="N10" s="3">
        <v>0.88088944290663806</v>
      </c>
      <c r="O10" s="3">
        <v>5.5468631699111823E-3</v>
      </c>
    </row>
    <row r="11" spans="1:15" ht="18">
      <c r="A11" s="3" t="s">
        <v>175</v>
      </c>
      <c r="B11" s="3">
        <v>4.7E-2</v>
      </c>
      <c r="C11" s="3">
        <v>2.9000000000000001E-2</v>
      </c>
      <c r="D11" s="3">
        <v>7.4999999999999997E-2</v>
      </c>
      <c r="E11" s="3">
        <v>0.02</v>
      </c>
      <c r="F11" s="3">
        <v>9.1999999999999998E-2</v>
      </c>
      <c r="G11" s="3">
        <v>6.0000000000000001E-3</v>
      </c>
      <c r="H11" s="3">
        <v>0.14599999999999999</v>
      </c>
      <c r="I11" s="3">
        <v>8.7999999999999995E-2</v>
      </c>
      <c r="J11" s="3">
        <v>0.29499999999999998</v>
      </c>
      <c r="K11" s="3">
        <v>9.4E-2</v>
      </c>
      <c r="L11" s="3">
        <v>0.312</v>
      </c>
      <c r="M11" s="3">
        <v>0.17799999999999999</v>
      </c>
      <c r="N11" s="3">
        <v>0.89806164390712639</v>
      </c>
      <c r="O11" s="3">
        <v>4.0373463906490754E-3</v>
      </c>
    </row>
    <row r="12" spans="1:15" ht="18">
      <c r="A12" s="3" t="s">
        <v>176</v>
      </c>
      <c r="B12" s="3">
        <v>3.1E-2</v>
      </c>
      <c r="C12" s="3">
        <v>3.5999999999999997E-2</v>
      </c>
      <c r="D12" s="3">
        <v>3.5999999999999997E-2</v>
      </c>
      <c r="E12" s="3">
        <v>6.0000000000000001E-3</v>
      </c>
      <c r="F12" s="3">
        <v>5.8000000000000003E-2</v>
      </c>
      <c r="G12" s="3">
        <v>2.9000000000000001E-2</v>
      </c>
      <c r="H12" s="3">
        <v>6.6000000000000003E-2</v>
      </c>
      <c r="I12" s="3">
        <v>8.9999999999999993E-3</v>
      </c>
      <c r="J12" s="3">
        <v>0.107</v>
      </c>
      <c r="K12" s="3">
        <v>4.8000000000000001E-2</v>
      </c>
      <c r="L12" s="3">
        <v>0.114</v>
      </c>
      <c r="M12" s="3">
        <v>8.7999999999999995E-2</v>
      </c>
      <c r="N12" s="3">
        <v>0.94245639105919643</v>
      </c>
      <c r="O12" s="3">
        <v>1.2663446943313079E-3</v>
      </c>
    </row>
    <row r="13" spans="1:15" ht="18">
      <c r="A13" s="3" t="s">
        <v>177</v>
      </c>
      <c r="B13" s="3">
        <v>6.0000000000000001E-3</v>
      </c>
      <c r="C13" s="3">
        <v>1E-3</v>
      </c>
      <c r="D13" s="3">
        <v>8.9999999999999993E-3</v>
      </c>
      <c r="E13" s="3">
        <v>3.0000000000000001E-3</v>
      </c>
      <c r="F13" s="3">
        <v>8.9999999999999993E-3</v>
      </c>
      <c r="G13" s="3">
        <v>1E-3</v>
      </c>
      <c r="H13" s="3">
        <v>1.0999999999999999E-2</v>
      </c>
      <c r="I13" s="3">
        <v>1E-3</v>
      </c>
      <c r="J13" s="3">
        <v>1.2999999999999999E-2</v>
      </c>
      <c r="K13" s="3">
        <v>2E-3</v>
      </c>
      <c r="L13" s="3">
        <v>2.4E-2</v>
      </c>
      <c r="M13" s="3">
        <v>3.1E-2</v>
      </c>
      <c r="N13" s="3">
        <v>0.77257142857142858</v>
      </c>
      <c r="O13" s="3">
        <v>2.108921819170631E-2</v>
      </c>
    </row>
    <row r="14" spans="1:15" ht="18">
      <c r="A14" s="3" t="s">
        <v>178</v>
      </c>
      <c r="B14" s="3">
        <v>0.02</v>
      </c>
      <c r="C14" s="3">
        <v>4.0000000000000001E-3</v>
      </c>
      <c r="D14" s="3">
        <v>3.5000000000000003E-2</v>
      </c>
      <c r="E14" s="3">
        <v>5.0000000000000001E-3</v>
      </c>
      <c r="F14" s="3">
        <v>4.8000000000000001E-2</v>
      </c>
      <c r="G14" s="3">
        <v>4.0000000000000001E-3</v>
      </c>
      <c r="H14" s="3">
        <v>6.0999999999999999E-2</v>
      </c>
      <c r="I14" s="3">
        <v>8.9999999999999993E-3</v>
      </c>
      <c r="J14" s="3">
        <v>0.10299999999999999</v>
      </c>
      <c r="K14" s="3">
        <v>0.09</v>
      </c>
      <c r="L14" s="3">
        <v>8.7999999999999995E-2</v>
      </c>
      <c r="M14" s="3">
        <v>1.9E-2</v>
      </c>
      <c r="N14" s="3">
        <v>0.88663259522460036</v>
      </c>
      <c r="O14" s="3">
        <v>5.0142617078874629E-3</v>
      </c>
    </row>
    <row r="15" spans="1:15" ht="18">
      <c r="A15" s="3" t="s">
        <v>179</v>
      </c>
      <c r="B15" s="3">
        <v>5.3999999999999999E-2</v>
      </c>
      <c r="C15" s="3">
        <v>1.0999999999999999E-2</v>
      </c>
      <c r="D15" s="3">
        <v>0.123</v>
      </c>
      <c r="E15" s="3">
        <v>4.4999999999999998E-2</v>
      </c>
      <c r="F15" s="3">
        <v>0.188</v>
      </c>
      <c r="G15" s="3">
        <v>4.9000000000000002E-2</v>
      </c>
      <c r="H15" s="3">
        <v>0.216</v>
      </c>
      <c r="I15" s="3">
        <v>5.8000000000000003E-2</v>
      </c>
      <c r="J15" s="3">
        <v>0.46700000000000003</v>
      </c>
      <c r="K15" s="3">
        <v>0.23200000000000001</v>
      </c>
      <c r="L15" s="3">
        <v>0.51800000000000002</v>
      </c>
      <c r="M15" s="3">
        <v>0.35199999999999998</v>
      </c>
      <c r="N15" s="3">
        <v>0.91826859702087582</v>
      </c>
      <c r="O15" s="3">
        <v>2.5765736518714539E-3</v>
      </c>
    </row>
    <row r="16" spans="1:15" ht="18">
      <c r="A16" s="3" t="s">
        <v>180</v>
      </c>
      <c r="B16" s="3">
        <v>7.3999999999999996E-2</v>
      </c>
      <c r="C16" s="3">
        <v>2.9000000000000001E-2</v>
      </c>
      <c r="D16" s="3">
        <v>0.13600000000000001</v>
      </c>
      <c r="E16" s="3">
        <v>4.5999999999999999E-2</v>
      </c>
      <c r="F16" s="3">
        <v>0.16800000000000001</v>
      </c>
      <c r="G16" s="3">
        <v>1.4E-2</v>
      </c>
      <c r="H16" s="3">
        <v>0.36599999999999999</v>
      </c>
      <c r="I16" s="3">
        <v>7.2999999999999995E-2</v>
      </c>
      <c r="J16" s="3">
        <v>0.51700000000000002</v>
      </c>
      <c r="K16" s="3">
        <v>7.0000000000000007E-2</v>
      </c>
      <c r="L16" s="3">
        <v>0.59</v>
      </c>
      <c r="M16" s="3">
        <v>0.13600000000000001</v>
      </c>
      <c r="N16" s="3">
        <v>0.95281938455674675</v>
      </c>
      <c r="O16" s="3">
        <v>8.4824175265299734E-4</v>
      </c>
    </row>
    <row r="17" spans="1:15" ht="18">
      <c r="A17" s="3" t="s">
        <v>181</v>
      </c>
      <c r="B17" s="3">
        <v>0.06</v>
      </c>
      <c r="C17" s="3">
        <v>2.9000000000000001E-2</v>
      </c>
      <c r="D17" s="3">
        <v>0.104</v>
      </c>
      <c r="E17" s="3">
        <v>0.02</v>
      </c>
      <c r="F17" s="3">
        <v>0.13500000000000001</v>
      </c>
      <c r="G17" s="3">
        <v>0.01</v>
      </c>
      <c r="H17" s="3">
        <v>0.22900000000000001</v>
      </c>
      <c r="I17" s="3">
        <v>5.1999999999999998E-2</v>
      </c>
      <c r="J17" s="3">
        <v>0.38500000000000001</v>
      </c>
      <c r="K17" s="3">
        <v>0.105</v>
      </c>
      <c r="L17" s="3">
        <v>0.51900000000000002</v>
      </c>
      <c r="M17" s="3">
        <v>0.14399999999999999</v>
      </c>
      <c r="N17" s="3">
        <v>0.92746134476761877</v>
      </c>
      <c r="O17" s="3">
        <v>2.0229533580838079E-3</v>
      </c>
    </row>
    <row r="18" spans="1:15" ht="18">
      <c r="A18" s="3" t="s">
        <v>182</v>
      </c>
      <c r="B18" s="3">
        <v>6.7000000000000004E-2</v>
      </c>
      <c r="C18" s="3">
        <v>4.2000000000000003E-2</v>
      </c>
      <c r="D18" s="3">
        <v>0.11700000000000001</v>
      </c>
      <c r="E18" s="3">
        <v>3.2000000000000001E-2</v>
      </c>
      <c r="F18" s="3">
        <v>0.20899999999999999</v>
      </c>
      <c r="G18" s="3">
        <v>0.17199999999999999</v>
      </c>
      <c r="H18" s="3">
        <v>0.36099999999999999</v>
      </c>
      <c r="I18" s="3">
        <v>6.7000000000000004E-2</v>
      </c>
      <c r="J18" s="3">
        <v>0.42799999999999999</v>
      </c>
      <c r="K18" s="3">
        <v>7.0000000000000007E-2</v>
      </c>
      <c r="L18" s="3">
        <v>0.57599999999999996</v>
      </c>
      <c r="M18" s="3">
        <v>0.16500000000000001</v>
      </c>
      <c r="N18" s="3">
        <v>0.98018927013022183</v>
      </c>
      <c r="O18" s="3">
        <v>1.481572343298386E-4</v>
      </c>
    </row>
    <row r="19" spans="1:15" ht="18">
      <c r="A19" s="3" t="s">
        <v>183</v>
      </c>
      <c r="B19" s="3">
        <v>2.5000000000000001E-2</v>
      </c>
      <c r="C19" s="3">
        <v>5.0000000000000001E-3</v>
      </c>
      <c r="D19" s="3">
        <v>4.8000000000000001E-2</v>
      </c>
      <c r="E19" s="3">
        <v>8.0000000000000002E-3</v>
      </c>
      <c r="F19" s="3">
        <v>6.4000000000000001E-2</v>
      </c>
      <c r="G19" s="3">
        <v>7.0000000000000001E-3</v>
      </c>
      <c r="H19" s="3">
        <v>0.08</v>
      </c>
      <c r="I19" s="3">
        <v>7.0000000000000001E-3</v>
      </c>
      <c r="J19" s="3">
        <v>0.111</v>
      </c>
      <c r="K19" s="3">
        <v>2.9000000000000001E-2</v>
      </c>
      <c r="L19" s="3">
        <v>0.155</v>
      </c>
      <c r="M19" s="3">
        <v>7.0999999999999994E-2</v>
      </c>
      <c r="N19" s="3">
        <v>0.95901687733268626</v>
      </c>
      <c r="O19" s="3">
        <v>6.3866456538035651E-4</v>
      </c>
    </row>
    <row r="20" spans="1:15" ht="18">
      <c r="A20" s="3" t="s">
        <v>184</v>
      </c>
      <c r="B20" s="3">
        <v>1.6E-2</v>
      </c>
      <c r="C20" s="3">
        <v>5.0000000000000001E-3</v>
      </c>
      <c r="D20" s="3">
        <v>3.1E-2</v>
      </c>
      <c r="E20" s="3">
        <v>1.9E-2</v>
      </c>
      <c r="F20" s="3">
        <v>3.4000000000000002E-2</v>
      </c>
      <c r="G20" s="3">
        <v>6.0000000000000001E-3</v>
      </c>
      <c r="H20" s="3">
        <v>4.2999999999999997E-2</v>
      </c>
      <c r="I20" s="3">
        <v>4.0000000000000001E-3</v>
      </c>
      <c r="J20" s="3">
        <v>5.5E-2</v>
      </c>
      <c r="K20" s="3">
        <v>6.0000000000000001E-3</v>
      </c>
      <c r="L20" s="3">
        <v>6.7000000000000004E-2</v>
      </c>
      <c r="M20" s="3">
        <v>1.9E-2</v>
      </c>
      <c r="N20" s="3">
        <v>0.97745454545454546</v>
      </c>
      <c r="O20" s="3">
        <v>1.9206248907874431E-4</v>
      </c>
    </row>
    <row r="21" spans="1:15" ht="18">
      <c r="A21" s="3" t="s">
        <v>185</v>
      </c>
      <c r="B21" s="3">
        <v>2.3E-2</v>
      </c>
      <c r="C21" s="3">
        <v>5.0000000000000001E-3</v>
      </c>
      <c r="D21" s="3">
        <v>4.5999999999999999E-2</v>
      </c>
      <c r="E21" s="3">
        <v>0.01</v>
      </c>
      <c r="F21" s="3">
        <v>5.7000000000000002E-2</v>
      </c>
      <c r="G21" s="3">
        <v>6.0000000000000001E-3</v>
      </c>
      <c r="H21" s="3">
        <v>7.3999999999999996E-2</v>
      </c>
      <c r="I21" s="3">
        <v>8.9999999999999993E-3</v>
      </c>
      <c r="J21" s="3">
        <v>9.4E-2</v>
      </c>
      <c r="K21" s="3">
        <v>1.0999999999999999E-2</v>
      </c>
      <c r="L21" s="3">
        <v>0.13200000000000001</v>
      </c>
      <c r="M21" s="3">
        <v>6.2E-2</v>
      </c>
      <c r="N21" s="3">
        <v>0.96431666924624648</v>
      </c>
      <c r="O21" s="3">
        <v>4.8328376527850857E-4</v>
      </c>
    </row>
    <row r="22" spans="1:15" ht="18">
      <c r="A22" s="3" t="s">
        <v>186</v>
      </c>
      <c r="B22" s="3">
        <v>3.4000000000000002E-2</v>
      </c>
      <c r="C22" s="3">
        <v>6.0000000000000001E-3</v>
      </c>
      <c r="D22" s="3">
        <v>7.3999999999999996E-2</v>
      </c>
      <c r="E22" s="3">
        <v>2.3E-2</v>
      </c>
      <c r="F22" s="3">
        <v>9.7000000000000003E-2</v>
      </c>
      <c r="G22" s="3">
        <v>3.5000000000000003E-2</v>
      </c>
      <c r="H22" s="3">
        <v>0.11700000000000001</v>
      </c>
      <c r="I22" s="3">
        <v>2.1999999999999999E-2</v>
      </c>
      <c r="J22" s="3">
        <v>0.16800000000000001</v>
      </c>
      <c r="K22" s="3">
        <v>5.8999999999999997E-2</v>
      </c>
      <c r="L22" s="3">
        <v>0.248</v>
      </c>
      <c r="M22" s="3">
        <v>7.3999999999999996E-2</v>
      </c>
      <c r="N22" s="3">
        <v>0.93749825686794008</v>
      </c>
      <c r="O22" s="3">
        <v>1.496565446134353E-3</v>
      </c>
    </row>
    <row r="23" spans="1:15" ht="18">
      <c r="A23" s="3" t="s">
        <v>187</v>
      </c>
      <c r="B23" s="3">
        <v>3.5000000000000003E-2</v>
      </c>
      <c r="C23" s="3">
        <v>2.7E-2</v>
      </c>
      <c r="D23" s="3">
        <v>6.3E-2</v>
      </c>
      <c r="E23" s="3">
        <v>2.1999999999999999E-2</v>
      </c>
      <c r="F23" s="3">
        <v>9.4E-2</v>
      </c>
      <c r="G23" s="3">
        <v>4.4999999999999998E-2</v>
      </c>
      <c r="H23" s="3">
        <v>9.4E-2</v>
      </c>
      <c r="I23" s="3">
        <v>0.01</v>
      </c>
      <c r="J23" s="3">
        <v>0.124</v>
      </c>
      <c r="K23" s="3">
        <v>1.7999999999999999E-2</v>
      </c>
      <c r="L23" s="3">
        <v>0.16900000000000001</v>
      </c>
      <c r="M23" s="3">
        <v>7.4999999999999997E-2</v>
      </c>
      <c r="N23" s="3">
        <v>0.95104206832099236</v>
      </c>
      <c r="O23" s="3">
        <v>9.1391555392246351E-4</v>
      </c>
    </row>
    <row r="24" spans="1:15" ht="18">
      <c r="A24" s="3" t="s">
        <v>188</v>
      </c>
      <c r="B24" s="3">
        <v>5.6000000000000001E-2</v>
      </c>
      <c r="C24" s="3">
        <v>2.1000000000000001E-2</v>
      </c>
      <c r="D24" s="3">
        <v>0.104</v>
      </c>
      <c r="E24" s="3">
        <v>2.8000000000000001E-2</v>
      </c>
      <c r="F24" s="3">
        <v>0.152</v>
      </c>
      <c r="G24" s="3">
        <v>0.05</v>
      </c>
      <c r="H24" s="3">
        <v>0.187</v>
      </c>
      <c r="I24" s="3">
        <v>4.2000000000000003E-2</v>
      </c>
      <c r="J24" s="3">
        <v>0.42099999999999999</v>
      </c>
      <c r="K24" s="3">
        <v>0.187</v>
      </c>
      <c r="L24" s="3">
        <v>0.432</v>
      </c>
      <c r="M24" s="3">
        <v>7.4999999999999997E-2</v>
      </c>
      <c r="N24" s="3">
        <v>0.89410869128230319</v>
      </c>
      <c r="O24" s="3">
        <v>4.3627999837991373E-3</v>
      </c>
    </row>
    <row r="25" spans="1:15" ht="18">
      <c r="A25" s="3" t="s">
        <v>189</v>
      </c>
      <c r="B25" s="3">
        <v>8.1000000000000003E-2</v>
      </c>
      <c r="C25" s="3">
        <v>3.7999999999999999E-2</v>
      </c>
      <c r="D25" s="3">
        <v>0.13100000000000001</v>
      </c>
      <c r="E25" s="3">
        <v>5.0999999999999997E-2</v>
      </c>
      <c r="F25" s="3">
        <v>0.16300000000000001</v>
      </c>
      <c r="G25" s="3">
        <v>3.5000000000000003E-2</v>
      </c>
      <c r="H25" s="3">
        <v>0.33</v>
      </c>
      <c r="I25" s="3">
        <v>6.9000000000000006E-2</v>
      </c>
      <c r="J25" s="3">
        <v>0.55300000000000005</v>
      </c>
      <c r="K25" s="3">
        <v>0.27</v>
      </c>
      <c r="L25" s="3">
        <v>0.51200000000000001</v>
      </c>
      <c r="M25" s="3">
        <v>0.113</v>
      </c>
      <c r="N25" s="3">
        <v>0.8971512755077149</v>
      </c>
      <c r="O25" s="3">
        <v>4.1111382050789177E-3</v>
      </c>
    </row>
    <row r="26" spans="1:15" ht="18">
      <c r="A26" s="3" t="s">
        <v>190</v>
      </c>
      <c r="B26" s="3">
        <v>6.7000000000000004E-2</v>
      </c>
      <c r="C26" s="3">
        <v>2.7E-2</v>
      </c>
      <c r="D26" s="3">
        <v>0.11</v>
      </c>
      <c r="E26" s="3">
        <v>0.02</v>
      </c>
      <c r="F26" s="3">
        <v>0.14599999999999999</v>
      </c>
      <c r="G26" s="3">
        <v>0.02</v>
      </c>
      <c r="H26" s="3">
        <v>0.27700000000000002</v>
      </c>
      <c r="I26" s="3">
        <v>0.06</v>
      </c>
      <c r="J26" s="3">
        <v>0.441</v>
      </c>
      <c r="K26" s="3">
        <v>6.0999999999999999E-2</v>
      </c>
      <c r="L26" s="3">
        <v>0.52500000000000002</v>
      </c>
      <c r="M26" s="3">
        <v>8.7999999999999995E-2</v>
      </c>
      <c r="N26" s="3">
        <v>0.94597962175086725</v>
      </c>
      <c r="O26" s="3">
        <v>1.1146519913739659E-3</v>
      </c>
    </row>
    <row r="27" spans="1:15" ht="18">
      <c r="A27" s="3" t="s">
        <v>191</v>
      </c>
      <c r="B27" s="3">
        <v>6.9000000000000006E-2</v>
      </c>
      <c r="C27" s="3">
        <v>2.5999999999999999E-2</v>
      </c>
      <c r="D27" s="3">
        <v>0.151</v>
      </c>
      <c r="E27" s="3">
        <v>6.9000000000000006E-2</v>
      </c>
      <c r="F27" s="3">
        <v>0.19800000000000001</v>
      </c>
      <c r="G27" s="3">
        <v>6.2E-2</v>
      </c>
      <c r="H27" s="3">
        <v>0.25800000000000001</v>
      </c>
      <c r="I27" s="3">
        <v>5.6000000000000001E-2</v>
      </c>
      <c r="J27" s="3">
        <v>0.44900000000000001</v>
      </c>
      <c r="K27" s="3">
        <v>5.8000000000000003E-2</v>
      </c>
      <c r="L27" s="3">
        <v>0.54600000000000004</v>
      </c>
      <c r="M27" s="3">
        <v>6.7000000000000004E-2</v>
      </c>
      <c r="N27" s="3">
        <v>0.94988355345358666</v>
      </c>
      <c r="O27" s="3">
        <v>9.5806519795743345E-4</v>
      </c>
    </row>
    <row r="28" spans="1:15" ht="18">
      <c r="A28" s="3" t="s">
        <v>192</v>
      </c>
      <c r="B28" s="3">
        <v>3.9E-2</v>
      </c>
      <c r="C28" s="3">
        <v>2.1000000000000001E-2</v>
      </c>
      <c r="D28" s="3">
        <v>7.9000000000000001E-2</v>
      </c>
      <c r="E28" s="3">
        <v>5.1999999999999998E-2</v>
      </c>
      <c r="F28" s="3">
        <v>8.8999999999999996E-2</v>
      </c>
      <c r="G28" s="3">
        <v>1.0999999999999999E-2</v>
      </c>
      <c r="H28" s="3">
        <v>0.115</v>
      </c>
      <c r="I28" s="3">
        <v>8.9999999999999993E-3</v>
      </c>
      <c r="J28" s="3">
        <v>0.19</v>
      </c>
      <c r="K28" s="3">
        <v>5.7000000000000002E-2</v>
      </c>
      <c r="L28" s="3">
        <v>0.252</v>
      </c>
      <c r="M28" s="3">
        <v>0.03</v>
      </c>
      <c r="N28" s="3">
        <v>0.92759676494626531</v>
      </c>
      <c r="O28" s="3">
        <v>2.0153106932373891E-3</v>
      </c>
    </row>
    <row r="29" spans="1:15" ht="18">
      <c r="A29" s="3" t="s">
        <v>193</v>
      </c>
      <c r="B29" s="3">
        <v>7.0000000000000001E-3</v>
      </c>
      <c r="C29" s="3">
        <v>2E-3</v>
      </c>
      <c r="D29" s="3">
        <v>0.01</v>
      </c>
      <c r="E29" s="3">
        <v>3.0000000000000001E-3</v>
      </c>
      <c r="F29" s="3">
        <v>1.2999999999999999E-2</v>
      </c>
      <c r="G29" s="3">
        <v>3.0000000000000001E-3</v>
      </c>
      <c r="H29" s="3">
        <v>1.4999999999999999E-2</v>
      </c>
      <c r="I29" s="3">
        <v>1E-3</v>
      </c>
      <c r="J29" s="3">
        <v>2.3E-2</v>
      </c>
      <c r="K29" s="3">
        <v>1.2E-2</v>
      </c>
      <c r="L29" s="3">
        <v>1.9E-2</v>
      </c>
      <c r="M29" s="3">
        <v>2E-3</v>
      </c>
      <c r="N29" s="3">
        <v>0.8497292794668887</v>
      </c>
      <c r="O29" s="3">
        <v>8.9320375202276894E-3</v>
      </c>
    </row>
    <row r="30" spans="1:15" ht="18">
      <c r="A30" s="3" t="s">
        <v>194</v>
      </c>
      <c r="B30" s="3">
        <v>1.7000000000000001E-2</v>
      </c>
      <c r="C30" s="3">
        <v>5.0000000000000001E-3</v>
      </c>
      <c r="D30" s="3">
        <v>5.1999999999999998E-2</v>
      </c>
      <c r="E30" s="3">
        <v>4.7E-2</v>
      </c>
      <c r="F30" s="3">
        <v>4.4999999999999998E-2</v>
      </c>
      <c r="G30" s="3">
        <v>1.9E-2</v>
      </c>
      <c r="H30" s="3">
        <v>5.1999999999999998E-2</v>
      </c>
      <c r="I30" s="3">
        <v>4.0000000000000001E-3</v>
      </c>
      <c r="J30" s="3">
        <v>7.8E-2</v>
      </c>
      <c r="K30" s="3">
        <v>3.4000000000000002E-2</v>
      </c>
      <c r="L30" s="3">
        <v>7.0999999999999994E-2</v>
      </c>
      <c r="M30" s="3">
        <v>7.0000000000000001E-3</v>
      </c>
      <c r="N30" s="3">
        <v>0.7795441190115362</v>
      </c>
      <c r="O30" s="3">
        <v>1.9759814837149541E-2</v>
      </c>
    </row>
    <row r="31" spans="1:15" ht="18">
      <c r="A31" s="3" t="s">
        <v>195</v>
      </c>
      <c r="B31" s="3">
        <v>1.2999999999999999E-2</v>
      </c>
      <c r="C31" s="3">
        <v>2E-3</v>
      </c>
      <c r="D31" s="3">
        <v>0.03</v>
      </c>
      <c r="E31" s="3">
        <v>1.7000000000000001E-2</v>
      </c>
      <c r="F31" s="3">
        <v>0.03</v>
      </c>
      <c r="G31" s="3">
        <v>2E-3</v>
      </c>
      <c r="H31" s="3">
        <v>3.9E-2</v>
      </c>
      <c r="I31" s="3">
        <v>2E-3</v>
      </c>
      <c r="J31" s="3">
        <v>5.2999999999999999E-2</v>
      </c>
      <c r="K31" s="3">
        <v>1.0999999999999999E-2</v>
      </c>
      <c r="L31" s="3">
        <v>5.3999999999999999E-2</v>
      </c>
      <c r="M31" s="3">
        <v>6.0000000000000001E-3</v>
      </c>
      <c r="N31" s="3">
        <v>0.93665867493129085</v>
      </c>
      <c r="O31" s="3">
        <v>1.5374948953726199E-3</v>
      </c>
    </row>
    <row r="32" spans="1:15" ht="18">
      <c r="A32" s="3" t="s">
        <v>196</v>
      </c>
      <c r="B32" s="3">
        <v>1.4999999999999999E-2</v>
      </c>
      <c r="C32" s="3">
        <v>6.0000000000000001E-3</v>
      </c>
      <c r="D32" s="3">
        <v>2.5000000000000001E-2</v>
      </c>
      <c r="E32" s="3">
        <v>1.0999999999999999E-2</v>
      </c>
      <c r="F32" s="3">
        <v>2.5000000000000001E-2</v>
      </c>
      <c r="G32" s="3">
        <v>2E-3</v>
      </c>
      <c r="H32" s="3">
        <v>3.5000000000000003E-2</v>
      </c>
      <c r="I32" s="3">
        <v>4.0000000000000001E-3</v>
      </c>
      <c r="J32" s="3">
        <v>4.2999999999999997E-2</v>
      </c>
      <c r="K32" s="3">
        <v>8.0000000000000002E-3</v>
      </c>
      <c r="L32" s="3">
        <v>4.4999999999999998E-2</v>
      </c>
      <c r="M32" s="3">
        <v>5.0000000000000001E-3</v>
      </c>
      <c r="N32" s="3">
        <v>0.95740766550522671</v>
      </c>
      <c r="O32" s="3">
        <v>6.9018666925623796E-4</v>
      </c>
    </row>
    <row r="33" spans="1:15" ht="18">
      <c r="A33" s="3" t="s">
        <v>197</v>
      </c>
      <c r="B33" s="3">
        <v>2.3E-2</v>
      </c>
      <c r="C33" s="3">
        <v>8.9999999999999993E-3</v>
      </c>
      <c r="D33" s="3">
        <v>0.06</v>
      </c>
      <c r="E33" s="3">
        <v>4.7E-2</v>
      </c>
      <c r="F33" s="3">
        <v>4.8000000000000001E-2</v>
      </c>
      <c r="G33" s="3">
        <v>3.0000000000000001E-3</v>
      </c>
      <c r="H33" s="3">
        <v>6.3E-2</v>
      </c>
      <c r="I33" s="3">
        <v>5.0000000000000001E-3</v>
      </c>
      <c r="J33" s="3">
        <v>8.5000000000000006E-2</v>
      </c>
      <c r="K33" s="3">
        <v>2.1999999999999999E-2</v>
      </c>
      <c r="L33" s="3">
        <v>8.4000000000000005E-2</v>
      </c>
      <c r="M33" s="3">
        <v>5.0000000000000001E-3</v>
      </c>
      <c r="N33" s="3">
        <v>0.81900737513451127</v>
      </c>
      <c r="O33" s="3">
        <v>1.311145600760572E-2</v>
      </c>
    </row>
    <row r="34" spans="1:15" ht="18">
      <c r="A34" s="3" t="s">
        <v>198</v>
      </c>
      <c r="B34" s="3">
        <v>1.2999999999999999E-2</v>
      </c>
      <c r="C34" s="3">
        <v>4.0000000000000001E-3</v>
      </c>
      <c r="D34" s="3">
        <v>0.02</v>
      </c>
      <c r="E34" s="3">
        <v>4.0000000000000001E-3</v>
      </c>
      <c r="F34" s="3">
        <v>2.5000000000000001E-2</v>
      </c>
      <c r="G34" s="3">
        <v>2E-3</v>
      </c>
      <c r="H34" s="3">
        <v>3.1E-2</v>
      </c>
      <c r="I34" s="3">
        <v>3.0000000000000001E-3</v>
      </c>
      <c r="J34" s="3">
        <v>4.7E-2</v>
      </c>
      <c r="K34" s="3">
        <v>1.7999999999999999E-2</v>
      </c>
      <c r="L34" s="3">
        <v>4.2999999999999997E-2</v>
      </c>
      <c r="M34" s="3">
        <v>5.0000000000000001E-3</v>
      </c>
      <c r="N34" s="3">
        <v>0.91932131263809691</v>
      </c>
      <c r="O34" s="3">
        <v>2.5096859419198722E-3</v>
      </c>
    </row>
    <row r="35" spans="1:15" ht="18">
      <c r="A35" s="3" t="s">
        <v>199</v>
      </c>
      <c r="B35" s="3">
        <v>4.7E-2</v>
      </c>
      <c r="C35" s="3">
        <v>3.6999999999999998E-2</v>
      </c>
      <c r="D35" s="3">
        <v>8.4000000000000005E-2</v>
      </c>
      <c r="E35" s="3">
        <v>2.5999999999999999E-2</v>
      </c>
      <c r="F35" s="3">
        <v>9.4E-2</v>
      </c>
      <c r="G35" s="3">
        <v>6.0000000000000001E-3</v>
      </c>
      <c r="H35" s="3">
        <v>0.121</v>
      </c>
      <c r="I35" s="3">
        <v>8.9999999999999993E-3</v>
      </c>
      <c r="J35" s="3">
        <v>0.20300000000000001</v>
      </c>
      <c r="K35" s="3">
        <v>8.1000000000000003E-2</v>
      </c>
      <c r="L35" s="3">
        <v>0.312</v>
      </c>
      <c r="M35" s="3">
        <v>7.6999999999999999E-2</v>
      </c>
      <c r="N35" s="3">
        <v>0.87395691978078394</v>
      </c>
      <c r="O35" s="3">
        <v>6.2272647556354133E-3</v>
      </c>
    </row>
    <row r="36" spans="1:15" ht="18">
      <c r="A36" s="3" t="s">
        <v>200</v>
      </c>
      <c r="B36" s="3">
        <v>5.8999999999999997E-2</v>
      </c>
      <c r="C36" s="3">
        <v>1.4E-2</v>
      </c>
      <c r="D36" s="3">
        <v>0.13100000000000001</v>
      </c>
      <c r="E36" s="3">
        <v>4.8000000000000001E-2</v>
      </c>
      <c r="F36" s="3">
        <v>0.16200000000000001</v>
      </c>
      <c r="G36" s="3">
        <v>3.4000000000000002E-2</v>
      </c>
      <c r="H36" s="3">
        <v>0.29199999999999998</v>
      </c>
      <c r="I36" s="3">
        <v>0.11600000000000001</v>
      </c>
      <c r="J36" s="3">
        <v>0.50800000000000001</v>
      </c>
      <c r="K36" s="3">
        <v>0.104</v>
      </c>
      <c r="L36" s="3">
        <v>0.60299999999999998</v>
      </c>
      <c r="M36" s="3">
        <v>0.114</v>
      </c>
      <c r="N36" s="3">
        <v>0.94145034583314668</v>
      </c>
      <c r="O36" s="3">
        <v>1.31147221142016E-3</v>
      </c>
    </row>
    <row r="37" spans="1:15" ht="18">
      <c r="A37" s="12" t="s">
        <v>201</v>
      </c>
      <c r="B37" s="3">
        <v>3.5999999999999997E-2</v>
      </c>
      <c r="C37" s="3">
        <v>0.01</v>
      </c>
      <c r="D37" s="3">
        <v>7.5999999999999998E-2</v>
      </c>
      <c r="E37" s="3">
        <v>3.7999999999999999E-2</v>
      </c>
      <c r="F37" s="3">
        <v>8.8999999999999996E-2</v>
      </c>
      <c r="G37" s="3">
        <v>0.01</v>
      </c>
      <c r="H37" s="3">
        <v>0.13400000000000001</v>
      </c>
      <c r="I37" s="3">
        <v>3.7999999999999999E-2</v>
      </c>
      <c r="J37" s="3">
        <v>0.29599999999999999</v>
      </c>
      <c r="K37" s="3">
        <v>9.0999999999999998E-2</v>
      </c>
      <c r="L37" s="3">
        <v>0.29599999999999999</v>
      </c>
      <c r="M37" s="3">
        <v>0.108</v>
      </c>
      <c r="N37" s="3">
        <v>0.88407282339655613</v>
      </c>
      <c r="O37" s="3">
        <v>5.2481828285019204E-3</v>
      </c>
    </row>
    <row r="38" spans="1:15" ht="18">
      <c r="A38" s="12" t="s">
        <v>202</v>
      </c>
      <c r="B38" s="3">
        <v>1.2999999999999999E-2</v>
      </c>
      <c r="C38" s="3">
        <v>3.0000000000000001E-3</v>
      </c>
      <c r="D38" s="3">
        <v>2.3E-2</v>
      </c>
      <c r="E38" s="3">
        <v>3.0000000000000001E-3</v>
      </c>
      <c r="F38" s="3">
        <v>2.9000000000000001E-2</v>
      </c>
      <c r="G38" s="3">
        <v>2E-3</v>
      </c>
      <c r="H38" s="3">
        <v>0.04</v>
      </c>
      <c r="I38" s="3">
        <v>4.0000000000000001E-3</v>
      </c>
      <c r="J38" s="3">
        <v>5.8999999999999997E-2</v>
      </c>
      <c r="K38" s="3">
        <v>0.03</v>
      </c>
      <c r="L38" s="3">
        <v>0.06</v>
      </c>
      <c r="M38" s="3">
        <v>0.02</v>
      </c>
      <c r="N38" s="3">
        <v>0.96387037226951122</v>
      </c>
      <c r="O38" s="3">
        <v>4.9552424831371834E-4</v>
      </c>
    </row>
    <row r="39" spans="1:15" ht="18">
      <c r="A39" s="3" t="s">
        <v>203</v>
      </c>
      <c r="B39" s="3">
        <v>2.3E-2</v>
      </c>
      <c r="C39" s="3">
        <v>7.0000000000000001E-3</v>
      </c>
      <c r="D39" s="3">
        <v>4.2999999999999997E-2</v>
      </c>
      <c r="E39" s="3">
        <v>1.4999999999999999E-2</v>
      </c>
      <c r="F39" s="3">
        <v>5.2999999999999999E-2</v>
      </c>
      <c r="G39" s="3">
        <v>4.0000000000000001E-3</v>
      </c>
      <c r="H39" s="3">
        <v>7.1999999999999995E-2</v>
      </c>
      <c r="I39" s="3">
        <v>5.0000000000000001E-3</v>
      </c>
      <c r="J39" s="3">
        <v>9.8000000000000004E-2</v>
      </c>
      <c r="K39" s="3">
        <v>0.02</v>
      </c>
      <c r="L39" s="3">
        <v>0.127</v>
      </c>
      <c r="M39" s="3">
        <v>7.3999999999999996E-2</v>
      </c>
      <c r="N39" s="3">
        <v>0.97505902103772113</v>
      </c>
      <c r="O39" s="3">
        <v>2.352366545668755E-4</v>
      </c>
    </row>
    <row r="40" spans="1:15" ht="18">
      <c r="A40" s="3" t="s">
        <v>204</v>
      </c>
      <c r="B40" s="3">
        <v>2.7E-2</v>
      </c>
      <c r="C40" s="3">
        <v>5.0000000000000001E-3</v>
      </c>
      <c r="D40" s="3">
        <v>0.06</v>
      </c>
      <c r="E40" s="3">
        <v>0.03</v>
      </c>
      <c r="F40" s="3">
        <v>6.7000000000000004E-2</v>
      </c>
      <c r="G40" s="3">
        <v>7.0000000000000001E-3</v>
      </c>
      <c r="H40" s="3">
        <v>8.5999999999999993E-2</v>
      </c>
      <c r="I40" s="3">
        <v>8.9999999999999993E-3</v>
      </c>
      <c r="J40" s="3">
        <v>0.11899999999999999</v>
      </c>
      <c r="K40" s="3">
        <v>1.0999999999999999E-2</v>
      </c>
      <c r="L40" s="3">
        <v>0.153</v>
      </c>
      <c r="M40" s="3">
        <v>5.3999999999999999E-2</v>
      </c>
      <c r="N40" s="3">
        <v>0.96566710700132086</v>
      </c>
      <c r="O40" s="3">
        <v>4.4718904379500578E-4</v>
      </c>
    </row>
    <row r="41" spans="1:15" ht="18">
      <c r="A41" s="3" t="s">
        <v>205</v>
      </c>
      <c r="B41" s="3">
        <v>5.1999999999999998E-2</v>
      </c>
      <c r="C41" s="3">
        <v>2.9000000000000001E-2</v>
      </c>
      <c r="D41" s="3">
        <v>9.1999999999999998E-2</v>
      </c>
      <c r="E41" s="3">
        <v>5.1999999999999998E-2</v>
      </c>
      <c r="F41" s="3">
        <v>0.121</v>
      </c>
      <c r="G41" s="3">
        <v>3.3000000000000002E-2</v>
      </c>
      <c r="H41" s="3">
        <v>0.17899999999999999</v>
      </c>
      <c r="I41" s="3">
        <v>4.4999999999999998E-2</v>
      </c>
      <c r="J41" s="3">
        <v>0.36299999999999999</v>
      </c>
      <c r="K41" s="3">
        <v>7.0000000000000007E-2</v>
      </c>
      <c r="L41" s="3">
        <v>0.33400000000000002</v>
      </c>
      <c r="M41" s="3">
        <v>5.2999999999999999E-2</v>
      </c>
      <c r="N41" s="3">
        <v>0.88280968490601264</v>
      </c>
      <c r="O41" s="3">
        <v>5.3656640812041884E-3</v>
      </c>
    </row>
    <row r="42" spans="1:15" ht="18">
      <c r="A42" s="3" t="s">
        <v>206</v>
      </c>
      <c r="B42" s="3">
        <v>2.1000000000000001E-2</v>
      </c>
      <c r="C42" s="3">
        <v>4.0000000000000001E-3</v>
      </c>
      <c r="D42" s="3">
        <v>4.2000000000000003E-2</v>
      </c>
      <c r="E42" s="3">
        <v>1.2E-2</v>
      </c>
      <c r="F42" s="3">
        <v>5.1999999999999998E-2</v>
      </c>
      <c r="G42" s="3">
        <v>4.0000000000000001E-3</v>
      </c>
      <c r="H42" s="3">
        <v>7.0000000000000007E-2</v>
      </c>
      <c r="I42" s="3">
        <v>7.0000000000000001E-3</v>
      </c>
      <c r="J42" s="3">
        <v>0.09</v>
      </c>
      <c r="K42" s="3">
        <v>8.0000000000000002E-3</v>
      </c>
      <c r="L42" s="3">
        <v>9.4E-2</v>
      </c>
      <c r="M42" s="3">
        <v>1.2999999999999999E-2</v>
      </c>
      <c r="N42" s="3">
        <v>0.97928104229474078</v>
      </c>
      <c r="O42" s="3">
        <v>1.6210310871687191E-4</v>
      </c>
    </row>
    <row r="43" spans="1:15" ht="18">
      <c r="A43" s="3" t="s">
        <v>207</v>
      </c>
      <c r="B43" s="3">
        <v>7.0000000000000001E-3</v>
      </c>
      <c r="C43" s="3">
        <v>3.0000000000000001E-3</v>
      </c>
      <c r="D43" s="3">
        <v>8.0000000000000002E-3</v>
      </c>
      <c r="E43" s="3">
        <v>2E-3</v>
      </c>
      <c r="F43" s="3">
        <v>8.9999999999999993E-3</v>
      </c>
      <c r="G43" s="3">
        <v>1E-3</v>
      </c>
      <c r="H43" s="3">
        <v>0.01</v>
      </c>
      <c r="I43" s="3">
        <v>1E-3</v>
      </c>
      <c r="J43" s="3">
        <v>1.2999999999999999E-2</v>
      </c>
      <c r="K43" s="3">
        <v>3.0000000000000001E-3</v>
      </c>
      <c r="L43" s="3">
        <v>1.2999999999999999E-2</v>
      </c>
      <c r="M43" s="3">
        <v>2E-3</v>
      </c>
      <c r="N43" s="3">
        <v>0.9446428571428569</v>
      </c>
      <c r="O43" s="3">
        <v>1.1710452933920031E-3</v>
      </c>
    </row>
    <row r="44" spans="1:15" ht="18">
      <c r="A44" s="12" t="s">
        <v>208</v>
      </c>
      <c r="B44" s="3">
        <v>4.0000000000000001E-3</v>
      </c>
      <c r="C44" s="3">
        <v>0</v>
      </c>
      <c r="D44" s="3">
        <v>5.0000000000000001E-3</v>
      </c>
      <c r="E44" s="3">
        <v>1E-3</v>
      </c>
      <c r="F44" s="3">
        <v>5.0000000000000001E-3</v>
      </c>
      <c r="G44" s="3">
        <v>0</v>
      </c>
      <c r="H44" s="3">
        <v>7.0000000000000001E-3</v>
      </c>
      <c r="I44" s="3">
        <v>1E-3</v>
      </c>
      <c r="J44" s="3">
        <v>8.0000000000000002E-3</v>
      </c>
      <c r="K44" s="3">
        <v>2E-3</v>
      </c>
      <c r="L44" s="3">
        <v>8.0000000000000002E-3</v>
      </c>
      <c r="M44" s="3">
        <v>1E-3</v>
      </c>
      <c r="N44" s="3">
        <v>0.92552166934189417</v>
      </c>
      <c r="O44" s="3">
        <v>2.134051855159812E-3</v>
      </c>
    </row>
    <row r="45" spans="1:15" ht="18">
      <c r="A45" s="3" t="s">
        <v>68</v>
      </c>
      <c r="B45" s="3">
        <v>3.1E-2</v>
      </c>
      <c r="C45" s="3">
        <v>5.0000000000000001E-3</v>
      </c>
      <c r="D45" s="3">
        <v>0.192</v>
      </c>
      <c r="E45" s="3">
        <v>6.2E-2</v>
      </c>
      <c r="F45" s="3">
        <v>7.9000000000000001E-2</v>
      </c>
      <c r="G45" s="3">
        <v>8.0000000000000002E-3</v>
      </c>
      <c r="H45" s="3">
        <v>0.109</v>
      </c>
      <c r="I45" s="3">
        <v>1.4E-2</v>
      </c>
      <c r="J45" s="3">
        <v>0.222</v>
      </c>
      <c r="K45" s="3">
        <v>8.4000000000000005E-2</v>
      </c>
      <c r="L45" s="3">
        <v>0.19600000000000001</v>
      </c>
      <c r="M45" s="3">
        <v>7.1999999999999995E-2</v>
      </c>
      <c r="N45" s="3">
        <v>0.43829913937735121</v>
      </c>
      <c r="O45" s="3">
        <v>0.1520236744436857</v>
      </c>
    </row>
    <row r="46" spans="1:15" ht="18"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</row>
    <row r="47" spans="1:15" ht="18"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</row>
    <row r="48" spans="1:15" ht="18"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</row>
    <row r="49" spans="2:14" ht="18"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</row>
    <row r="50" spans="2:14" ht="18"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</row>
    <row r="51" spans="2:14" ht="18"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</row>
    <row r="52" spans="2:14" ht="18"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</row>
    <row r="53" spans="2:14" ht="18"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</row>
    <row r="54" spans="2:14" ht="18"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</row>
    <row r="55" spans="2:14" ht="18"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</row>
    <row r="56" spans="2:14" ht="18"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</row>
    <row r="57" spans="2:14" ht="18"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</row>
    <row r="58" spans="2:14" ht="18"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</row>
    <row r="59" spans="2:14" ht="18"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</row>
    <row r="60" spans="2:14" ht="18"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</row>
    <row r="61" spans="2:14" ht="18"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</row>
    <row r="62" spans="2:14" ht="18"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</row>
    <row r="63" spans="2:14" ht="18"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</row>
    <row r="64" spans="2:14" ht="18"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</row>
    <row r="65" spans="2:14" ht="18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</row>
    <row r="66" spans="2:14" ht="18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</row>
    <row r="67" spans="2:14" ht="18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</row>
    <row r="68" spans="2:14" ht="18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</row>
    <row r="69" spans="2:14" ht="18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</row>
    <row r="70" spans="2:14" ht="18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</row>
    <row r="71" spans="2:14" ht="18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</row>
    <row r="72" spans="2:14" ht="18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</row>
    <row r="73" spans="2:14" ht="18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</row>
    <row r="74" spans="2:14" ht="18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</row>
    <row r="75" spans="2:14" ht="18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</row>
    <row r="76" spans="2:14" ht="18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</row>
    <row r="77" spans="2:14" ht="18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</row>
    <row r="78" spans="2:14" ht="18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</row>
    <row r="79" spans="2:14" ht="18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</row>
    <row r="80" spans="2:14" ht="18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</row>
    <row r="81" spans="2:14" ht="18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18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18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18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18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18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18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18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18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18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18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18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18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18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18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18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18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18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18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18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18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18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18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18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18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18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18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18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18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18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18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18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18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18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18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18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18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18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18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18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18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18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18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18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18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18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  <row r="127" spans="2:14" ht="18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</row>
    <row r="128" spans="2:14" ht="18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</row>
    <row r="129" spans="2:14" ht="18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18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18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18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18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18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18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18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18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18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18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18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18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18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18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18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</sheetData>
  <mergeCells count="7">
    <mergeCell ref="L2:M2"/>
    <mergeCell ref="J2:K2"/>
    <mergeCell ref="A2:A3"/>
    <mergeCell ref="B2:C2"/>
    <mergeCell ref="D2:E2"/>
    <mergeCell ref="F2:G2"/>
    <mergeCell ref="H2:I2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D4A94-5965-0147-BE1D-D82C55BC7B9D}">
  <dimension ref="A1:I45"/>
  <sheetViews>
    <sheetView zoomScaleNormal="100" workbookViewId="0"/>
  </sheetViews>
  <sheetFormatPr baseColWidth="10" defaultRowHeight="16"/>
  <cols>
    <col min="1" max="1" width="18.83203125" customWidth="1"/>
    <col min="2" max="7" width="26.83203125" customWidth="1"/>
    <col min="8" max="8" width="15.1640625" bestFit="1" customWidth="1"/>
    <col min="9" max="9" width="15.83203125" bestFit="1" customWidth="1"/>
  </cols>
  <sheetData>
    <row r="1" spans="1:9" ht="58" customHeight="1">
      <c r="A1" s="2" t="s">
        <v>255</v>
      </c>
    </row>
    <row r="2" spans="1:9" ht="22">
      <c r="A2" s="20" t="s">
        <v>0</v>
      </c>
      <c r="B2" s="10" t="s">
        <v>256</v>
      </c>
      <c r="C2" s="10" t="s">
        <v>257</v>
      </c>
      <c r="D2" s="10" t="s">
        <v>258</v>
      </c>
      <c r="E2" s="11" t="s">
        <v>259</v>
      </c>
      <c r="F2" s="11" t="s">
        <v>260</v>
      </c>
      <c r="G2" s="11" t="s">
        <v>261</v>
      </c>
    </row>
    <row r="3" spans="1:9" ht="22">
      <c r="A3" s="20"/>
      <c r="B3" s="6" t="s">
        <v>70</v>
      </c>
      <c r="C3" s="6" t="s">
        <v>70</v>
      </c>
      <c r="D3" s="6" t="s">
        <v>69</v>
      </c>
      <c r="E3" s="6" t="s">
        <v>69</v>
      </c>
      <c r="F3" s="6" t="s">
        <v>69</v>
      </c>
      <c r="G3" s="6" t="s">
        <v>69</v>
      </c>
      <c r="H3" s="6" t="s">
        <v>236</v>
      </c>
      <c r="I3" s="6" t="s">
        <v>237</v>
      </c>
    </row>
    <row r="4" spans="1:9" ht="18">
      <c r="A4" s="3" t="s">
        <v>168</v>
      </c>
      <c r="B4" s="3">
        <v>32224</v>
      </c>
      <c r="C4" s="3">
        <v>39584</v>
      </c>
      <c r="D4" s="3">
        <v>46944</v>
      </c>
      <c r="E4" s="3">
        <v>54304</v>
      </c>
      <c r="F4" s="3">
        <v>61664</v>
      </c>
      <c r="G4" s="3">
        <v>65344</v>
      </c>
      <c r="H4" s="3">
        <v>0.99217221135029365</v>
      </c>
      <c r="I4" s="3">
        <v>2.303807381503634E-5</v>
      </c>
    </row>
    <row r="5" spans="1:9" ht="18">
      <c r="A5" s="3" t="s">
        <v>169</v>
      </c>
      <c r="B5" s="3">
        <v>30784</v>
      </c>
      <c r="C5" s="3">
        <v>34944</v>
      </c>
      <c r="D5" s="3">
        <v>39104</v>
      </c>
      <c r="E5" s="3">
        <v>43264</v>
      </c>
      <c r="F5" s="3">
        <v>47424</v>
      </c>
      <c r="G5" s="3">
        <v>49504</v>
      </c>
      <c r="H5" s="3">
        <v>0.99217221135029365</v>
      </c>
      <c r="I5" s="3">
        <v>2.303807381503634E-5</v>
      </c>
    </row>
    <row r="6" spans="1:9" ht="18">
      <c r="A6" s="3" t="s">
        <v>170</v>
      </c>
      <c r="B6" s="3">
        <v>52032</v>
      </c>
      <c r="C6" s="3">
        <v>82752</v>
      </c>
      <c r="D6" s="3">
        <v>113232</v>
      </c>
      <c r="E6" s="3">
        <v>143952</v>
      </c>
      <c r="F6" s="3">
        <v>174432</v>
      </c>
      <c r="G6" s="3">
        <v>189792</v>
      </c>
      <c r="H6" s="3">
        <v>0.99218412126637323</v>
      </c>
      <c r="I6" s="3">
        <v>2.2967930916260919E-5</v>
      </c>
    </row>
    <row r="7" spans="1:9" ht="18">
      <c r="A7" s="3" t="s">
        <v>171</v>
      </c>
      <c r="B7" s="3">
        <v>45504</v>
      </c>
      <c r="C7" s="3">
        <v>79424</v>
      </c>
      <c r="D7" s="3">
        <v>113184</v>
      </c>
      <c r="E7" s="3">
        <v>147104</v>
      </c>
      <c r="F7" s="3">
        <v>181024</v>
      </c>
      <c r="G7" s="3">
        <v>197824</v>
      </c>
      <c r="H7" s="3">
        <v>0.99206867455157699</v>
      </c>
      <c r="I7" s="3">
        <v>2.365236689938962E-5</v>
      </c>
    </row>
    <row r="8" spans="1:9" ht="18">
      <c r="A8" s="3" t="s">
        <v>172</v>
      </c>
      <c r="B8" s="3">
        <v>63976</v>
      </c>
      <c r="C8" s="3">
        <v>110176</v>
      </c>
      <c r="D8" s="3">
        <v>156656</v>
      </c>
      <c r="E8" s="3">
        <v>202856</v>
      </c>
      <c r="F8" s="3">
        <v>249056</v>
      </c>
      <c r="G8" s="3">
        <v>272296</v>
      </c>
      <c r="H8" s="3">
        <v>0.99220182138281765</v>
      </c>
      <c r="I8" s="3">
        <v>2.2863884988027439E-5</v>
      </c>
    </row>
    <row r="9" spans="1:9" ht="18">
      <c r="A9" s="3" t="s">
        <v>173</v>
      </c>
      <c r="B9" s="3">
        <v>62856</v>
      </c>
      <c r="C9" s="3">
        <v>106816</v>
      </c>
      <c r="D9" s="3">
        <v>150776</v>
      </c>
      <c r="E9" s="3">
        <v>194736</v>
      </c>
      <c r="F9" s="3">
        <v>238976</v>
      </c>
      <c r="G9" s="3">
        <v>260816</v>
      </c>
      <c r="H9" s="3">
        <v>0.99212852562144471</v>
      </c>
      <c r="I9" s="3">
        <v>2.3296276869057241E-5</v>
      </c>
    </row>
    <row r="10" spans="1:9" ht="18">
      <c r="A10" s="3" t="s">
        <v>174</v>
      </c>
      <c r="B10" s="3">
        <v>54736</v>
      </c>
      <c r="C10" s="3">
        <v>82736</v>
      </c>
      <c r="D10" s="3">
        <v>110456</v>
      </c>
      <c r="E10" s="3">
        <v>138456</v>
      </c>
      <c r="F10" s="3">
        <v>166176</v>
      </c>
      <c r="G10" s="3">
        <v>180176</v>
      </c>
      <c r="H10" s="3">
        <v>0.99218703653693763</v>
      </c>
      <c r="I10" s="3">
        <v>2.2950777900515869E-5</v>
      </c>
    </row>
    <row r="11" spans="1:9" ht="18">
      <c r="A11" s="3" t="s">
        <v>175</v>
      </c>
      <c r="B11" s="3">
        <v>49920</v>
      </c>
      <c r="C11" s="3">
        <v>100560</v>
      </c>
      <c r="D11" s="3">
        <v>151200</v>
      </c>
      <c r="E11" s="3">
        <v>201960</v>
      </c>
      <c r="F11" s="3">
        <v>252600</v>
      </c>
      <c r="G11" s="3">
        <v>277920</v>
      </c>
      <c r="H11" s="3">
        <v>0.99216021313503955</v>
      </c>
      <c r="I11" s="3">
        <v>2.3108845167821131E-5</v>
      </c>
    </row>
    <row r="12" spans="1:9" ht="18">
      <c r="A12" s="3" t="s">
        <v>176</v>
      </c>
      <c r="B12" s="3">
        <v>36960</v>
      </c>
      <c r="C12" s="3">
        <v>61680</v>
      </c>
      <c r="D12" s="3">
        <v>86400</v>
      </c>
      <c r="E12" s="3">
        <v>111120</v>
      </c>
      <c r="F12" s="3">
        <v>135840</v>
      </c>
      <c r="G12" s="3">
        <v>148200</v>
      </c>
      <c r="H12" s="3">
        <v>0.99217221135029388</v>
      </c>
      <c r="I12" s="3">
        <v>2.3038073815035029E-5</v>
      </c>
    </row>
    <row r="13" spans="1:9" ht="18">
      <c r="A13" s="3" t="s">
        <v>177</v>
      </c>
      <c r="B13" s="3">
        <v>35008</v>
      </c>
      <c r="C13" s="3">
        <v>39608</v>
      </c>
      <c r="D13" s="3">
        <v>44208</v>
      </c>
      <c r="E13" s="3">
        <v>48808</v>
      </c>
      <c r="F13" s="3">
        <v>53408</v>
      </c>
      <c r="G13" s="3">
        <v>55608</v>
      </c>
      <c r="H13" s="3">
        <v>0.99142589201982778</v>
      </c>
      <c r="I13" s="3">
        <v>2.7647421105506712E-5</v>
      </c>
    </row>
    <row r="14" spans="1:9" ht="18">
      <c r="A14" s="3" t="s">
        <v>178</v>
      </c>
      <c r="B14" s="3">
        <v>85224</v>
      </c>
      <c r="C14" s="3">
        <v>157584</v>
      </c>
      <c r="D14" s="3">
        <v>229944</v>
      </c>
      <c r="E14" s="3">
        <v>302304</v>
      </c>
      <c r="F14" s="3">
        <v>374664</v>
      </c>
      <c r="G14" s="3">
        <v>411024</v>
      </c>
      <c r="H14" s="3">
        <v>0.9922551869433297</v>
      </c>
      <c r="I14" s="3">
        <v>2.2551621566111441E-5</v>
      </c>
    </row>
    <row r="15" spans="1:9" ht="18">
      <c r="A15" s="3" t="s">
        <v>179</v>
      </c>
      <c r="B15" s="3">
        <v>130616</v>
      </c>
      <c r="C15" s="3">
        <v>310376</v>
      </c>
      <c r="D15" s="3">
        <v>489856</v>
      </c>
      <c r="E15" s="3">
        <v>669616</v>
      </c>
      <c r="F15" s="3">
        <v>849096</v>
      </c>
      <c r="G15" s="3">
        <v>938976</v>
      </c>
      <c r="H15" s="3">
        <v>0.99217477116801767</v>
      </c>
      <c r="I15" s="3">
        <v>2.3022988840894191E-5</v>
      </c>
    </row>
    <row r="16" spans="1:9" ht="18">
      <c r="A16" s="3" t="s">
        <v>180</v>
      </c>
      <c r="B16" s="3">
        <v>156656</v>
      </c>
      <c r="C16" s="3">
        <v>387936</v>
      </c>
      <c r="D16" s="3">
        <v>619496</v>
      </c>
      <c r="E16" s="3">
        <v>850776</v>
      </c>
      <c r="F16" s="3">
        <v>1082056</v>
      </c>
      <c r="G16" s="3">
        <v>1197976</v>
      </c>
      <c r="H16" s="3">
        <v>0.9921984755222546</v>
      </c>
      <c r="I16" s="3">
        <v>2.2883534682160649E-5</v>
      </c>
    </row>
    <row r="17" spans="1:9" ht="18">
      <c r="A17" s="3" t="s">
        <v>181</v>
      </c>
      <c r="B17" s="3">
        <v>114912</v>
      </c>
      <c r="C17" s="3">
        <v>271392</v>
      </c>
      <c r="D17" s="3">
        <v>427872</v>
      </c>
      <c r="E17" s="3">
        <v>584352</v>
      </c>
      <c r="F17" s="3">
        <v>740832</v>
      </c>
      <c r="G17" s="3">
        <v>819072</v>
      </c>
      <c r="H17" s="3">
        <v>0.99217221135029388</v>
      </c>
      <c r="I17" s="3">
        <v>2.3038073815035029E-5</v>
      </c>
    </row>
    <row r="18" spans="1:9" ht="18">
      <c r="A18" s="3" t="s">
        <v>182</v>
      </c>
      <c r="B18" s="3">
        <v>142376</v>
      </c>
      <c r="C18" s="3">
        <v>345656</v>
      </c>
      <c r="D18" s="3">
        <v>548656</v>
      </c>
      <c r="E18" s="3">
        <v>751656</v>
      </c>
      <c r="F18" s="3">
        <v>954936</v>
      </c>
      <c r="G18" s="3">
        <v>1056576</v>
      </c>
      <c r="H18" s="3">
        <v>0.99219520295383412</v>
      </c>
      <c r="I18" s="3">
        <v>2.290276212962752E-5</v>
      </c>
    </row>
    <row r="19" spans="1:9" ht="18">
      <c r="A19" s="3" t="s">
        <v>183</v>
      </c>
      <c r="B19" s="3">
        <v>79936</v>
      </c>
      <c r="C19" s="3">
        <v>157776</v>
      </c>
      <c r="D19" s="3">
        <v>235896</v>
      </c>
      <c r="E19" s="3">
        <v>313736</v>
      </c>
      <c r="F19" s="3">
        <v>391576</v>
      </c>
      <c r="G19" s="3">
        <v>430776</v>
      </c>
      <c r="H19" s="3">
        <v>0.99224988000833902</v>
      </c>
      <c r="I19" s="3">
        <v>2.2582578192889049E-5</v>
      </c>
    </row>
    <row r="20" spans="1:9" ht="18">
      <c r="A20" s="3" t="s">
        <v>184</v>
      </c>
      <c r="B20" s="3">
        <v>46808</v>
      </c>
      <c r="C20" s="3">
        <v>74808</v>
      </c>
      <c r="D20" s="3">
        <v>102808</v>
      </c>
      <c r="E20" s="3">
        <v>130808</v>
      </c>
      <c r="F20" s="3">
        <v>158808</v>
      </c>
      <c r="G20" s="3">
        <v>172808</v>
      </c>
      <c r="H20" s="3">
        <v>0.99217221135029365</v>
      </c>
      <c r="I20" s="3">
        <v>2.303807381503634E-5</v>
      </c>
    </row>
    <row r="21" spans="1:9" ht="18">
      <c r="A21" s="3" t="s">
        <v>185</v>
      </c>
      <c r="B21" s="3">
        <v>75736</v>
      </c>
      <c r="C21" s="3">
        <v>145176</v>
      </c>
      <c r="D21" s="3">
        <v>214616</v>
      </c>
      <c r="E21" s="3">
        <v>284056</v>
      </c>
      <c r="F21" s="3">
        <v>353496</v>
      </c>
      <c r="G21" s="3">
        <v>388216</v>
      </c>
      <c r="H21" s="3">
        <v>0.99217221135029365</v>
      </c>
      <c r="I21" s="3">
        <v>2.303807381503634E-5</v>
      </c>
    </row>
    <row r="22" spans="1:9" ht="18">
      <c r="A22" s="3" t="s">
        <v>186</v>
      </c>
      <c r="B22" s="3">
        <v>109440</v>
      </c>
      <c r="C22" s="3">
        <v>238080</v>
      </c>
      <c r="D22" s="3">
        <v>366720</v>
      </c>
      <c r="E22" s="3">
        <v>495680</v>
      </c>
      <c r="F22" s="3">
        <v>624320</v>
      </c>
      <c r="G22" s="3">
        <v>688640</v>
      </c>
      <c r="H22" s="3">
        <v>0.9921596106622107</v>
      </c>
      <c r="I22" s="3">
        <v>2.3112401717127379E-5</v>
      </c>
    </row>
    <row r="23" spans="1:9" ht="18">
      <c r="A23" s="3" t="s">
        <v>187</v>
      </c>
      <c r="B23" s="3">
        <v>97600</v>
      </c>
      <c r="C23" s="3">
        <v>202880</v>
      </c>
      <c r="D23" s="3">
        <v>308160</v>
      </c>
      <c r="E23" s="3">
        <v>413440</v>
      </c>
      <c r="F23" s="3">
        <v>518720</v>
      </c>
      <c r="G23" s="3">
        <v>571520</v>
      </c>
      <c r="H23" s="3">
        <v>0.99222296349591332</v>
      </c>
      <c r="I23" s="3">
        <v>2.2739916475356268E-5</v>
      </c>
    </row>
    <row r="24" spans="1:9" ht="18">
      <c r="A24" s="3" t="s">
        <v>188</v>
      </c>
      <c r="B24" s="3">
        <v>111552</v>
      </c>
      <c r="C24" s="3">
        <v>261072</v>
      </c>
      <c r="D24" s="3">
        <v>410592</v>
      </c>
      <c r="E24" s="3">
        <v>560112</v>
      </c>
      <c r="F24" s="3">
        <v>709632</v>
      </c>
      <c r="G24" s="3">
        <v>784512</v>
      </c>
      <c r="H24" s="3">
        <v>0.9921990360844084</v>
      </c>
      <c r="I24" s="3">
        <v>2.288024200182482E-5</v>
      </c>
    </row>
    <row r="25" spans="1:9" ht="18">
      <c r="A25" s="3" t="s">
        <v>189</v>
      </c>
      <c r="B25" s="3">
        <v>125952</v>
      </c>
      <c r="C25" s="3">
        <v>304272</v>
      </c>
      <c r="D25" s="3">
        <v>482592</v>
      </c>
      <c r="E25" s="3">
        <v>660672</v>
      </c>
      <c r="F25" s="3">
        <v>838992</v>
      </c>
      <c r="G25" s="3">
        <v>928272</v>
      </c>
      <c r="H25" s="3">
        <v>0.99220142518647259</v>
      </c>
      <c r="I25" s="3">
        <v>2.2866211342941341E-5</v>
      </c>
    </row>
    <row r="26" spans="1:9" ht="18">
      <c r="A26" s="3" t="s">
        <v>190</v>
      </c>
      <c r="B26" s="3">
        <v>121152</v>
      </c>
      <c r="C26" s="3">
        <v>289872</v>
      </c>
      <c r="D26" s="3">
        <v>458832</v>
      </c>
      <c r="E26" s="3">
        <v>627552</v>
      </c>
      <c r="F26" s="3">
        <v>796272</v>
      </c>
      <c r="G26" s="3">
        <v>880752</v>
      </c>
      <c r="H26" s="3">
        <v>0.99217930541419086</v>
      </c>
      <c r="I26" s="3">
        <v>2.2996280741913781E-5</v>
      </c>
    </row>
    <row r="27" spans="1:9" ht="18">
      <c r="A27" s="3" t="s">
        <v>191</v>
      </c>
      <c r="B27" s="3">
        <v>151896</v>
      </c>
      <c r="C27" s="3">
        <v>373936</v>
      </c>
      <c r="D27" s="3">
        <v>595976</v>
      </c>
      <c r="E27" s="3">
        <v>817736</v>
      </c>
      <c r="F27" s="3">
        <v>1039776</v>
      </c>
      <c r="G27" s="3">
        <v>1150936</v>
      </c>
      <c r="H27" s="3">
        <v>0.99219958641534356</v>
      </c>
      <c r="I27" s="3">
        <v>2.2877009649604569E-5</v>
      </c>
    </row>
    <row r="28" spans="1:9" ht="18">
      <c r="A28" s="3" t="s">
        <v>192</v>
      </c>
      <c r="B28" s="3">
        <v>95336</v>
      </c>
      <c r="C28" s="3">
        <v>203976</v>
      </c>
      <c r="D28" s="3">
        <v>312896</v>
      </c>
      <c r="E28" s="3">
        <v>421536</v>
      </c>
      <c r="F28" s="3">
        <v>530176</v>
      </c>
      <c r="G28" s="3">
        <v>584776</v>
      </c>
      <c r="H28" s="3">
        <v>0.99222797312816668</v>
      </c>
      <c r="I28" s="3">
        <v>2.2710591600818079E-5</v>
      </c>
    </row>
    <row r="29" spans="1:9" ht="18">
      <c r="A29" s="3" t="s">
        <v>193</v>
      </c>
      <c r="B29" s="3">
        <v>36408</v>
      </c>
      <c r="C29" s="3">
        <v>44008</v>
      </c>
      <c r="D29" s="3">
        <v>51408</v>
      </c>
      <c r="E29" s="3">
        <v>59008</v>
      </c>
      <c r="F29" s="3">
        <v>66408</v>
      </c>
      <c r="G29" s="3">
        <v>70208</v>
      </c>
      <c r="H29" s="3">
        <v>0.99220283490784922</v>
      </c>
      <c r="I29" s="3">
        <v>2.28579343905099E-5</v>
      </c>
    </row>
    <row r="30" spans="1:9" ht="18">
      <c r="A30" s="3" t="s">
        <v>194</v>
      </c>
      <c r="B30" s="3">
        <v>49608</v>
      </c>
      <c r="C30" s="3">
        <v>83408</v>
      </c>
      <c r="D30" s="3">
        <v>117208</v>
      </c>
      <c r="E30" s="3">
        <v>151008</v>
      </c>
      <c r="F30" s="3">
        <v>184608</v>
      </c>
      <c r="G30" s="3">
        <v>201608</v>
      </c>
      <c r="H30" s="3">
        <v>0.99221087908340277</v>
      </c>
      <c r="I30" s="3">
        <v>2.281073304952383E-5</v>
      </c>
    </row>
    <row r="31" spans="1:9" ht="18">
      <c r="A31" s="3" t="s">
        <v>195</v>
      </c>
      <c r="B31" s="3">
        <v>31200</v>
      </c>
      <c r="C31" s="3">
        <v>44520</v>
      </c>
      <c r="D31" s="3">
        <v>57840</v>
      </c>
      <c r="E31" s="3">
        <v>71160</v>
      </c>
      <c r="F31" s="3">
        <v>84600</v>
      </c>
      <c r="G31" s="3">
        <v>91200</v>
      </c>
      <c r="H31" s="3">
        <v>0.9921097982646514</v>
      </c>
      <c r="I31" s="3">
        <v>2.3407406080680551E-5</v>
      </c>
    </row>
    <row r="32" spans="1:9" ht="18">
      <c r="A32" s="3" t="s">
        <v>196</v>
      </c>
      <c r="B32" s="3">
        <v>30600</v>
      </c>
      <c r="C32" s="3">
        <v>42720</v>
      </c>
      <c r="D32" s="3">
        <v>54840</v>
      </c>
      <c r="E32" s="3">
        <v>66960</v>
      </c>
      <c r="F32" s="3">
        <v>78960</v>
      </c>
      <c r="G32" s="3">
        <v>85080</v>
      </c>
      <c r="H32" s="3">
        <v>0.99223586716571788</v>
      </c>
      <c r="I32" s="3">
        <v>2.2664420786349529E-5</v>
      </c>
    </row>
    <row r="33" spans="1:9" ht="18">
      <c r="A33" s="3" t="s">
        <v>197</v>
      </c>
      <c r="B33" s="3">
        <v>75520</v>
      </c>
      <c r="C33" s="3">
        <v>136960</v>
      </c>
      <c r="D33" s="3">
        <v>198400</v>
      </c>
      <c r="E33" s="3">
        <v>259840</v>
      </c>
      <c r="F33" s="3">
        <v>320960</v>
      </c>
      <c r="G33" s="3">
        <v>351680</v>
      </c>
      <c r="H33" s="3">
        <v>0.99211907458340054</v>
      </c>
      <c r="I33" s="3">
        <v>2.3352326734059519E-5</v>
      </c>
    </row>
    <row r="34" spans="1:9" ht="18">
      <c r="A34" s="3" t="s">
        <v>198</v>
      </c>
      <c r="B34" s="3">
        <v>42408</v>
      </c>
      <c r="C34" s="3">
        <v>61808</v>
      </c>
      <c r="D34" s="3">
        <v>81208</v>
      </c>
      <c r="E34" s="3">
        <v>100608</v>
      </c>
      <c r="F34" s="3">
        <v>120208</v>
      </c>
      <c r="G34" s="3">
        <v>129808</v>
      </c>
      <c r="H34" s="3">
        <v>0.99210043929924319</v>
      </c>
      <c r="I34" s="3">
        <v>2.346304207584683E-5</v>
      </c>
    </row>
    <row r="35" spans="1:9" ht="18">
      <c r="A35" s="3" t="s">
        <v>199</v>
      </c>
      <c r="B35" s="3">
        <v>95896</v>
      </c>
      <c r="C35" s="3">
        <v>205656</v>
      </c>
      <c r="D35" s="3">
        <v>315416</v>
      </c>
      <c r="E35" s="3">
        <v>425176</v>
      </c>
      <c r="F35" s="3">
        <v>534936</v>
      </c>
      <c r="G35" s="3">
        <v>589816</v>
      </c>
      <c r="H35" s="3">
        <v>0.99217221135029365</v>
      </c>
      <c r="I35" s="3">
        <v>2.303807381503634E-5</v>
      </c>
    </row>
    <row r="36" spans="1:9" ht="18">
      <c r="A36" s="3" t="s">
        <v>200</v>
      </c>
      <c r="B36" s="3">
        <v>199728</v>
      </c>
      <c r="C36" s="3">
        <v>493328</v>
      </c>
      <c r="D36" s="3">
        <v>786528</v>
      </c>
      <c r="E36" s="3">
        <v>1080128</v>
      </c>
      <c r="F36" s="3">
        <v>1373328</v>
      </c>
      <c r="G36" s="3">
        <v>1520128</v>
      </c>
      <c r="H36" s="3">
        <v>0.99217445534368276</v>
      </c>
      <c r="I36" s="3">
        <v>2.302484972192423E-5</v>
      </c>
    </row>
    <row r="37" spans="1:9" ht="18">
      <c r="A37" s="12" t="s">
        <v>201</v>
      </c>
      <c r="B37" s="3">
        <v>98696</v>
      </c>
      <c r="C37" s="3">
        <v>214336</v>
      </c>
      <c r="D37" s="3">
        <v>329696</v>
      </c>
      <c r="E37" s="3">
        <v>445336</v>
      </c>
      <c r="F37" s="3">
        <v>560976</v>
      </c>
      <c r="G37" s="3">
        <v>618656</v>
      </c>
      <c r="H37" s="3">
        <v>0.99215993130622138</v>
      </c>
      <c r="I37" s="3">
        <v>2.3110508840374981E-5</v>
      </c>
    </row>
    <row r="38" spans="1:9" ht="18">
      <c r="A38" s="12" t="s">
        <v>202</v>
      </c>
      <c r="B38" s="3">
        <v>64960</v>
      </c>
      <c r="C38" s="3">
        <v>104640</v>
      </c>
      <c r="D38" s="3">
        <v>144640</v>
      </c>
      <c r="E38" s="3">
        <v>184320</v>
      </c>
      <c r="F38" s="3">
        <v>224320</v>
      </c>
      <c r="G38" s="3">
        <v>244160</v>
      </c>
      <c r="H38" s="3">
        <v>0.99215750605977493</v>
      </c>
      <c r="I38" s="3">
        <v>2.312482787036983E-5</v>
      </c>
    </row>
    <row r="39" spans="1:9" ht="18">
      <c r="A39" s="3" t="s">
        <v>203</v>
      </c>
      <c r="B39" s="3">
        <v>47904</v>
      </c>
      <c r="C39" s="3">
        <v>86464</v>
      </c>
      <c r="D39" s="3">
        <v>125184</v>
      </c>
      <c r="E39" s="3">
        <v>163744</v>
      </c>
      <c r="F39" s="3">
        <v>202304</v>
      </c>
      <c r="G39" s="3">
        <v>221664</v>
      </c>
      <c r="H39" s="3">
        <v>0.99219265698831671</v>
      </c>
      <c r="I39" s="3">
        <v>2.2917726137942199E-5</v>
      </c>
    </row>
    <row r="40" spans="1:9" ht="18">
      <c r="A40" s="3" t="s">
        <v>204</v>
      </c>
      <c r="B40" s="3">
        <v>62808</v>
      </c>
      <c r="C40" s="3">
        <v>123008</v>
      </c>
      <c r="D40" s="3">
        <v>183008</v>
      </c>
      <c r="E40" s="3">
        <v>243208</v>
      </c>
      <c r="F40" s="3">
        <v>303408</v>
      </c>
      <c r="G40" s="3">
        <v>333408</v>
      </c>
      <c r="H40" s="3">
        <v>0.99215529597039587</v>
      </c>
      <c r="I40" s="3">
        <v>2.3137880451858409E-5</v>
      </c>
    </row>
    <row r="41" spans="1:9" ht="18">
      <c r="A41" s="3" t="s">
        <v>205</v>
      </c>
      <c r="B41" s="3">
        <v>84008</v>
      </c>
      <c r="C41" s="3">
        <v>186608</v>
      </c>
      <c r="D41" s="3">
        <v>289008</v>
      </c>
      <c r="E41" s="3">
        <v>391608</v>
      </c>
      <c r="F41" s="3">
        <v>494208</v>
      </c>
      <c r="G41" s="3">
        <v>545408</v>
      </c>
      <c r="H41" s="3">
        <v>0.99216234535247427</v>
      </c>
      <c r="I41" s="3">
        <v>2.309626035356099E-5</v>
      </c>
    </row>
    <row r="42" spans="1:9" ht="18">
      <c r="A42" s="3" t="s">
        <v>206</v>
      </c>
      <c r="B42" s="3">
        <v>81280</v>
      </c>
      <c r="C42" s="3">
        <v>154240</v>
      </c>
      <c r="D42" s="3">
        <v>227200</v>
      </c>
      <c r="E42" s="3">
        <v>300160</v>
      </c>
      <c r="F42" s="3">
        <v>373120</v>
      </c>
      <c r="G42" s="3">
        <v>409600</v>
      </c>
      <c r="H42" s="3">
        <v>0.99217221135029365</v>
      </c>
      <c r="I42" s="3">
        <v>2.303807381503634E-5</v>
      </c>
    </row>
    <row r="43" spans="1:9" ht="18">
      <c r="A43" s="3" t="s">
        <v>207</v>
      </c>
      <c r="B43" s="3">
        <v>34808</v>
      </c>
      <c r="C43" s="3">
        <v>39208</v>
      </c>
      <c r="D43" s="3">
        <v>43608</v>
      </c>
      <c r="E43" s="3">
        <v>48008</v>
      </c>
      <c r="F43" s="3">
        <v>52208</v>
      </c>
      <c r="G43" s="3">
        <v>54408</v>
      </c>
      <c r="H43" s="3">
        <v>0.99164911468580019</v>
      </c>
      <c r="I43" s="3">
        <v>2.6224621948691619E-5</v>
      </c>
    </row>
    <row r="44" spans="1:9" ht="18">
      <c r="A44" s="12" t="s">
        <v>208</v>
      </c>
      <c r="B44" s="3">
        <v>25080</v>
      </c>
      <c r="C44" s="3">
        <v>26280</v>
      </c>
      <c r="D44" s="3">
        <v>27480</v>
      </c>
      <c r="E44" s="3">
        <v>28680</v>
      </c>
      <c r="F44" s="3">
        <v>29760</v>
      </c>
      <c r="G44" s="3">
        <v>30360</v>
      </c>
      <c r="H44" s="3">
        <v>0.99083663374472075</v>
      </c>
      <c r="I44" s="3">
        <v>3.1584407079336353E-5</v>
      </c>
    </row>
    <row r="45" spans="1:9" ht="18">
      <c r="A45" s="3" t="s">
        <v>68</v>
      </c>
      <c r="B45" s="3">
        <v>114744</v>
      </c>
      <c r="C45" s="3">
        <v>246504</v>
      </c>
      <c r="D45" s="3">
        <v>378264</v>
      </c>
      <c r="E45" s="3">
        <v>509664</v>
      </c>
      <c r="F45" s="3">
        <v>641424</v>
      </c>
      <c r="G45" s="3">
        <v>707304</v>
      </c>
      <c r="H45" s="3">
        <v>0.9921857809057204</v>
      </c>
      <c r="I45" s="3">
        <v>2.2958165059077611E-5</v>
      </c>
    </row>
  </sheetData>
  <mergeCells count="1">
    <mergeCell ref="A2:A3"/>
  </mergeCells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DC05A-B29E-FC46-BDED-F948A7CB1388}">
  <dimension ref="A1:L17"/>
  <sheetViews>
    <sheetView zoomScaleNormal="133" workbookViewId="0"/>
  </sheetViews>
  <sheetFormatPr baseColWidth="10" defaultRowHeight="16"/>
  <cols>
    <col min="1" max="1" width="18.83203125" customWidth="1"/>
    <col min="2" max="2" width="15.1640625" bestFit="1" customWidth="1"/>
    <col min="3" max="3" width="15.33203125" bestFit="1" customWidth="1"/>
    <col min="4" max="4" width="15.33203125" customWidth="1"/>
    <col min="5" max="5" width="10" bestFit="1" customWidth="1"/>
    <col min="6" max="6" width="22.83203125" bestFit="1" customWidth="1"/>
    <col min="7" max="7" width="33" bestFit="1" customWidth="1"/>
    <col min="8" max="8" width="12.6640625" bestFit="1" customWidth="1"/>
    <col min="9" max="9" width="7.1640625" bestFit="1" customWidth="1"/>
    <col min="10" max="10" width="6.6640625" bestFit="1" customWidth="1"/>
    <col min="11" max="11" width="17.83203125" bestFit="1" customWidth="1"/>
    <col min="12" max="12" width="19.6640625" bestFit="1" customWidth="1"/>
  </cols>
  <sheetData>
    <row r="1" spans="1:12" ht="58" customHeight="1">
      <c r="A1" s="2" t="s">
        <v>238</v>
      </c>
    </row>
    <row r="2" spans="1:12" s="8" customFormat="1" ht="22" customHeight="1">
      <c r="A2" s="11" t="s">
        <v>149</v>
      </c>
      <c r="B2" s="11" t="s">
        <v>112</v>
      </c>
      <c r="C2" s="10" t="s">
        <v>113</v>
      </c>
      <c r="D2" s="10" t="s">
        <v>239</v>
      </c>
      <c r="E2" s="6" t="s">
        <v>115</v>
      </c>
      <c r="F2" s="10" t="s">
        <v>111</v>
      </c>
      <c r="G2" s="10" t="s">
        <v>76</v>
      </c>
      <c r="H2" s="10" t="s">
        <v>118</v>
      </c>
      <c r="I2" s="10" t="s">
        <v>119</v>
      </c>
      <c r="J2" s="10" t="s">
        <v>120</v>
      </c>
      <c r="K2" s="10" t="s">
        <v>121</v>
      </c>
      <c r="L2" s="10" t="s">
        <v>133</v>
      </c>
    </row>
    <row r="3" spans="1:12" ht="18">
      <c r="A3" s="12">
        <v>1</v>
      </c>
      <c r="B3" s="12" t="s">
        <v>117</v>
      </c>
      <c r="C3" s="12" t="s">
        <v>77</v>
      </c>
      <c r="D3" s="12" t="s">
        <v>240</v>
      </c>
      <c r="E3" s="5">
        <v>8393</v>
      </c>
      <c r="F3" s="3">
        <v>8</v>
      </c>
      <c r="G3" s="3" t="s">
        <v>78</v>
      </c>
      <c r="H3" s="3" t="s">
        <v>122</v>
      </c>
      <c r="I3" s="3">
        <v>37</v>
      </c>
      <c r="J3" s="3" t="s">
        <v>123</v>
      </c>
      <c r="K3" s="3" t="s">
        <v>124</v>
      </c>
      <c r="L3" s="3" t="s">
        <v>134</v>
      </c>
    </row>
    <row r="4" spans="1:12" ht="18">
      <c r="A4" s="12">
        <v>2</v>
      </c>
      <c r="B4" s="12" t="s">
        <v>79</v>
      </c>
      <c r="C4" s="12" t="s">
        <v>80</v>
      </c>
      <c r="D4" s="12" t="s">
        <v>241</v>
      </c>
      <c r="E4" s="5">
        <v>10067</v>
      </c>
      <c r="F4" s="3">
        <v>9</v>
      </c>
      <c r="G4" s="3" t="s">
        <v>78</v>
      </c>
      <c r="H4" s="3" t="s">
        <v>122</v>
      </c>
      <c r="I4" s="3">
        <v>71</v>
      </c>
      <c r="J4" s="3" t="s">
        <v>125</v>
      </c>
      <c r="K4" s="3" t="s">
        <v>124</v>
      </c>
      <c r="L4" s="3" t="s">
        <v>135</v>
      </c>
    </row>
    <row r="5" spans="1:12" ht="18">
      <c r="A5" s="12">
        <v>3</v>
      </c>
      <c r="B5" s="12" t="s">
        <v>81</v>
      </c>
      <c r="C5" s="12" t="s">
        <v>82</v>
      </c>
      <c r="D5" s="12" t="s">
        <v>242</v>
      </c>
      <c r="E5" s="5">
        <v>9142</v>
      </c>
      <c r="F5" s="3">
        <v>8</v>
      </c>
      <c r="G5" s="3" t="s">
        <v>78</v>
      </c>
      <c r="H5" s="3" t="s">
        <v>126</v>
      </c>
      <c r="I5" s="3">
        <v>37</v>
      </c>
      <c r="J5" s="3" t="s">
        <v>125</v>
      </c>
      <c r="K5" s="3" t="s">
        <v>127</v>
      </c>
      <c r="L5" s="3" t="s">
        <v>136</v>
      </c>
    </row>
    <row r="6" spans="1:12" ht="18">
      <c r="A6" s="12">
        <v>4</v>
      </c>
      <c r="B6" s="12" t="s">
        <v>83</v>
      </c>
      <c r="C6" s="12" t="s">
        <v>84</v>
      </c>
      <c r="D6" s="12" t="s">
        <v>243</v>
      </c>
      <c r="E6" s="5">
        <v>9245</v>
      </c>
      <c r="F6" s="3">
        <v>8</v>
      </c>
      <c r="G6" s="3" t="s">
        <v>85</v>
      </c>
      <c r="H6" s="3" t="s">
        <v>128</v>
      </c>
      <c r="I6" s="3">
        <v>15</v>
      </c>
      <c r="J6" s="3" t="s">
        <v>123</v>
      </c>
      <c r="K6" s="3" t="s">
        <v>127</v>
      </c>
      <c r="L6" s="3" t="s">
        <v>137</v>
      </c>
    </row>
    <row r="7" spans="1:12" ht="18">
      <c r="A7" s="12">
        <v>5</v>
      </c>
      <c r="B7" s="12" t="s">
        <v>86</v>
      </c>
      <c r="C7" s="12" t="s">
        <v>87</v>
      </c>
      <c r="D7" s="12" t="s">
        <v>244</v>
      </c>
      <c r="E7" s="5">
        <v>11709</v>
      </c>
      <c r="F7" s="3">
        <v>9</v>
      </c>
      <c r="G7" s="3" t="s">
        <v>85</v>
      </c>
      <c r="H7" s="3" t="s">
        <v>129</v>
      </c>
      <c r="I7" s="3">
        <v>35</v>
      </c>
      <c r="J7" s="3" t="s">
        <v>123</v>
      </c>
      <c r="K7" s="3" t="s">
        <v>127</v>
      </c>
      <c r="L7" s="3" t="s">
        <v>138</v>
      </c>
    </row>
    <row r="8" spans="1:12" ht="18">
      <c r="A8" s="12">
        <v>6</v>
      </c>
      <c r="B8" s="12" t="s">
        <v>88</v>
      </c>
      <c r="C8" s="12" t="s">
        <v>89</v>
      </c>
      <c r="D8" s="12" t="s">
        <v>245</v>
      </c>
      <c r="E8" s="5">
        <v>8596</v>
      </c>
      <c r="F8" s="3">
        <v>10</v>
      </c>
      <c r="G8" s="3" t="s">
        <v>85</v>
      </c>
      <c r="H8" s="3" t="s">
        <v>129</v>
      </c>
      <c r="I8" s="3">
        <v>49</v>
      </c>
      <c r="J8" s="3" t="s">
        <v>125</v>
      </c>
      <c r="K8" s="3" t="s">
        <v>127</v>
      </c>
      <c r="L8" s="3" t="s">
        <v>139</v>
      </c>
    </row>
    <row r="9" spans="1:12" ht="18">
      <c r="A9" s="12">
        <v>7</v>
      </c>
      <c r="B9" s="12" t="s">
        <v>90</v>
      </c>
      <c r="C9" s="12" t="s">
        <v>91</v>
      </c>
      <c r="D9" s="12" t="s">
        <v>246</v>
      </c>
      <c r="E9" s="5">
        <v>6261</v>
      </c>
      <c r="F9" s="3">
        <v>10</v>
      </c>
      <c r="G9" s="3" t="s">
        <v>92</v>
      </c>
      <c r="H9" s="3" t="s">
        <v>122</v>
      </c>
      <c r="I9" s="3">
        <v>48</v>
      </c>
      <c r="J9" s="3" t="s">
        <v>123</v>
      </c>
      <c r="K9" s="3" t="s">
        <v>124</v>
      </c>
      <c r="L9" s="3" t="s">
        <v>140</v>
      </c>
    </row>
    <row r="10" spans="1:12" ht="18">
      <c r="A10" s="12">
        <v>8</v>
      </c>
      <c r="B10" s="12" t="s">
        <v>93</v>
      </c>
      <c r="C10" s="12" t="s">
        <v>94</v>
      </c>
      <c r="D10" s="12" t="s">
        <v>247</v>
      </c>
      <c r="E10" s="5">
        <v>6399</v>
      </c>
      <c r="F10" s="3">
        <v>10</v>
      </c>
      <c r="G10" s="3" t="s">
        <v>92</v>
      </c>
      <c r="H10" s="3" t="s">
        <v>130</v>
      </c>
      <c r="I10" s="3">
        <v>54</v>
      </c>
      <c r="J10" s="3" t="s">
        <v>125</v>
      </c>
      <c r="K10" s="3" t="s">
        <v>127</v>
      </c>
      <c r="L10" s="3" t="s">
        <v>141</v>
      </c>
    </row>
    <row r="11" spans="1:12" ht="18">
      <c r="A11" s="12">
        <v>9</v>
      </c>
      <c r="B11" s="12" t="s">
        <v>95</v>
      </c>
      <c r="C11" s="12" t="s">
        <v>96</v>
      </c>
      <c r="D11" s="12" t="s">
        <v>248</v>
      </c>
      <c r="E11" s="5">
        <v>11998</v>
      </c>
      <c r="F11" s="3">
        <v>9</v>
      </c>
      <c r="G11" s="3" t="s">
        <v>92</v>
      </c>
      <c r="H11" s="3" t="s">
        <v>126</v>
      </c>
      <c r="I11" s="3">
        <v>51</v>
      </c>
      <c r="J11" s="3" t="s">
        <v>123</v>
      </c>
      <c r="K11" s="3" t="s">
        <v>127</v>
      </c>
      <c r="L11" s="3" t="s">
        <v>142</v>
      </c>
    </row>
    <row r="12" spans="1:12" ht="18">
      <c r="A12" s="12">
        <v>10</v>
      </c>
      <c r="B12" s="12" t="s">
        <v>97</v>
      </c>
      <c r="C12" s="12" t="s">
        <v>98</v>
      </c>
      <c r="D12" s="12" t="s">
        <v>249</v>
      </c>
      <c r="E12" s="5">
        <v>10601</v>
      </c>
      <c r="F12" s="3">
        <v>9</v>
      </c>
      <c r="G12" s="3" t="s">
        <v>99</v>
      </c>
      <c r="H12" s="3" t="s">
        <v>131</v>
      </c>
      <c r="I12" s="3">
        <v>45</v>
      </c>
      <c r="J12" s="3" t="s">
        <v>123</v>
      </c>
      <c r="K12" s="3" t="s">
        <v>124</v>
      </c>
      <c r="L12" s="3" t="s">
        <v>143</v>
      </c>
    </row>
    <row r="13" spans="1:12" ht="18">
      <c r="A13" s="12">
        <v>11</v>
      </c>
      <c r="B13" s="12" t="s">
        <v>100</v>
      </c>
      <c r="C13" s="12" t="s">
        <v>101</v>
      </c>
      <c r="D13" s="12" t="s">
        <v>250</v>
      </c>
      <c r="E13" s="5">
        <v>8368</v>
      </c>
      <c r="F13" s="3">
        <v>10</v>
      </c>
      <c r="G13" s="3" t="s">
        <v>99</v>
      </c>
      <c r="H13" s="3" t="s">
        <v>131</v>
      </c>
      <c r="I13" s="3">
        <v>92</v>
      </c>
      <c r="J13" s="3" t="s">
        <v>123</v>
      </c>
      <c r="K13" s="3" t="s">
        <v>124</v>
      </c>
      <c r="L13" s="3" t="s">
        <v>144</v>
      </c>
    </row>
    <row r="14" spans="1:12" ht="18">
      <c r="A14" s="12">
        <v>12</v>
      </c>
      <c r="B14" s="12" t="s">
        <v>102</v>
      </c>
      <c r="C14" s="12" t="s">
        <v>103</v>
      </c>
      <c r="D14" s="12" t="s">
        <v>251</v>
      </c>
      <c r="E14" s="5">
        <v>16345</v>
      </c>
      <c r="F14" s="3">
        <v>9</v>
      </c>
      <c r="G14" s="3" t="s">
        <v>99</v>
      </c>
      <c r="H14" s="3" t="s">
        <v>131</v>
      </c>
      <c r="I14" s="3">
        <v>69</v>
      </c>
      <c r="J14" s="3" t="s">
        <v>123</v>
      </c>
      <c r="K14" s="3" t="s">
        <v>124</v>
      </c>
      <c r="L14" s="3" t="s">
        <v>145</v>
      </c>
    </row>
    <row r="15" spans="1:12" ht="18">
      <c r="A15" s="12">
        <v>13</v>
      </c>
      <c r="B15" s="12" t="s">
        <v>104</v>
      </c>
      <c r="C15" s="12" t="s">
        <v>105</v>
      </c>
      <c r="D15" s="12" t="s">
        <v>252</v>
      </c>
      <c r="E15" s="5">
        <v>6601</v>
      </c>
      <c r="F15" s="3">
        <v>9</v>
      </c>
      <c r="G15" s="3" t="s">
        <v>106</v>
      </c>
      <c r="H15" s="3" t="s">
        <v>132</v>
      </c>
      <c r="I15" s="3">
        <v>52</v>
      </c>
      <c r="J15" s="3" t="s">
        <v>123</v>
      </c>
      <c r="K15" s="3" t="s">
        <v>127</v>
      </c>
      <c r="L15" s="3" t="s">
        <v>146</v>
      </c>
    </row>
    <row r="16" spans="1:12" ht="18">
      <c r="A16" s="12">
        <v>14</v>
      </c>
      <c r="B16" s="12" t="s">
        <v>107</v>
      </c>
      <c r="C16" s="12" t="s">
        <v>108</v>
      </c>
      <c r="D16" s="12" t="s">
        <v>253</v>
      </c>
      <c r="E16" s="5">
        <v>7264</v>
      </c>
      <c r="F16" s="3">
        <v>8</v>
      </c>
      <c r="G16" s="3" t="s">
        <v>106</v>
      </c>
      <c r="H16" s="3" t="s">
        <v>132</v>
      </c>
      <c r="I16" s="3">
        <v>52</v>
      </c>
      <c r="J16" s="3" t="s">
        <v>125</v>
      </c>
      <c r="K16" s="3" t="s">
        <v>127</v>
      </c>
      <c r="L16" s="3" t="s">
        <v>147</v>
      </c>
    </row>
    <row r="17" spans="1:12" ht="18">
      <c r="A17" s="12">
        <v>15</v>
      </c>
      <c r="B17" s="12" t="s">
        <v>109</v>
      </c>
      <c r="C17" s="12" t="s">
        <v>110</v>
      </c>
      <c r="D17" s="12" t="s">
        <v>254</v>
      </c>
      <c r="E17" s="5">
        <v>8129</v>
      </c>
      <c r="F17" s="3">
        <v>10</v>
      </c>
      <c r="G17" s="3" t="s">
        <v>106</v>
      </c>
      <c r="H17" s="3" t="s">
        <v>122</v>
      </c>
      <c r="I17" s="3">
        <v>50</v>
      </c>
      <c r="J17" s="3" t="s">
        <v>125</v>
      </c>
      <c r="K17" s="3" t="s">
        <v>124</v>
      </c>
      <c r="L17" s="3" t="s">
        <v>148</v>
      </c>
    </row>
  </sheetData>
  <sortState xmlns:xlrd2="http://schemas.microsoft.com/office/spreadsheetml/2017/richdata2" ref="A3:L17">
    <sortCondition ref="A3:A17"/>
  </sortState>
  <phoneticPr fontId="1" type="noConversion"/>
  <conditionalFormatting sqref="C2:D17">
    <cfRule type="duplicateValues" dxfId="0" priority="1"/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TableS1_Data_Info</vt:lpstr>
      <vt:lpstr>TableS2_Performance</vt:lpstr>
      <vt:lpstr>TableS3_PrivacyComparison</vt:lpstr>
      <vt:lpstr>TableS4_nonPrivacyComparison</vt:lpstr>
      <vt:lpstr>TableS5_Hard vs Soft</vt:lpstr>
      <vt:lpstr>TableS6_ProxyProportionEffect</vt:lpstr>
      <vt:lpstr>TableS7_ClientNumberEffect</vt:lpstr>
      <vt:lpstr>TableS8_ProxyProportionRuntime</vt:lpstr>
      <vt:lpstr>TableS9_ProxyProportionBandwidt</vt:lpstr>
      <vt:lpstr>TableS10_Covid15Hospitals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 Nan</dc:creator>
  <cp:lastModifiedBy>sunnan_thu@outlook.com</cp:lastModifiedBy>
  <dcterms:created xsi:type="dcterms:W3CDTF">2024-07-04T09:49:59Z</dcterms:created>
  <dcterms:modified xsi:type="dcterms:W3CDTF">2025-11-14T03:57:59Z</dcterms:modified>
</cp:coreProperties>
</file>